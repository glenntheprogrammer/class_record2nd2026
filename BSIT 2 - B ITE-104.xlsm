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5.xml.rels" ContentType="application/vnd.openxmlformats-package.relationships+xml"/>
  <Override PartName="/xl/drawings/_rels/drawing4.xml.rels" ContentType="application/vnd.openxmlformats-package.relationships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_rels/workbook.xml.rels" ContentType="application/vnd.openxmlformats-package.relationships+xml"/>
  <Override PartName="/xl/media/image1.jpeg" ContentType="image/jpeg"/>
  <Override PartName="/xl/media/image2.jpeg" ContentType="image/jpeg"/>
  <Override PartName="/xl/media/image3.jpeg" ContentType="image/jpeg"/>
  <Override PartName="/xl/media/image4.jpeg" ContentType="image/jpeg"/>
  <Override PartName="/xl/media/image5.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Input Data" sheetId="1" state="visible" r:id="rId4"/>
    <sheet name="PRELIM" sheetId="2" state="visible" r:id="rId5"/>
    <sheet name="MIDTERM" sheetId="3" state="visible" r:id="rId6"/>
    <sheet name="ENDTERM" sheetId="4" state="visible" r:id="rId7"/>
    <sheet name="GRADE SHEET" sheetId="5" state="visible" r:id="rId8"/>
    <sheet name="Table of Raw Score" sheetId="6" state="hidden" r:id="rId9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<sst xmlns="http://schemas.openxmlformats.org/spreadsheetml/2006/main" count="203" uniqueCount="101">
  <si>
    <t xml:space="preserve">Kabankalan Catholic College</t>
  </si>
  <si>
    <t xml:space="preserve">College Department</t>
  </si>
  <si>
    <t xml:space="preserve">Guanzon St., City of Kabankalan, Negros Island Region</t>
  </si>
  <si>
    <t xml:space="preserve">CLASS RECORD</t>
  </si>
  <si>
    <t xml:space="preserve">ACADEMIC YEAR</t>
  </si>
  <si>
    <t xml:space="preserve">2026-2027</t>
  </si>
  <si>
    <t xml:space="preserve">SEMESTER</t>
  </si>
  <si>
    <r>
      <rPr>
        <b val="true"/>
        <sz val="12"/>
        <color theme="1"/>
        <rFont val="Arial"/>
        <family val="2"/>
        <charset val="1"/>
      </rPr>
      <t xml:space="preserve">2</t>
    </r>
    <r>
      <rPr>
        <b val="true"/>
        <vertAlign val="superscript"/>
        <sz val="12"/>
        <color theme="1"/>
        <rFont val="Arial"/>
        <family val="2"/>
        <charset val="1"/>
      </rPr>
      <t xml:space="preserve">nd</t>
    </r>
  </si>
  <si>
    <t xml:space="preserve">SUBJECT</t>
  </si>
  <si>
    <t xml:space="preserve">ITE 104 – Web System and Application</t>
  </si>
  <si>
    <t xml:space="preserve">DAY/S</t>
  </si>
  <si>
    <t xml:space="preserve">TIME</t>
  </si>
  <si>
    <t xml:space="preserve">INTRUCTOR'S NAME</t>
  </si>
  <si>
    <t xml:space="preserve">Glenn Magada Azuelo</t>
  </si>
  <si>
    <t xml:space="preserve">NO.</t>
  </si>
  <si>
    <t xml:space="preserve">STUDENT'S NAME</t>
  </si>
  <si>
    <t xml:space="preserve">COURSE</t>
  </si>
  <si>
    <t xml:space="preserve">EGCA, JOHN CRIS GAYARES</t>
  </si>
  <si>
    <t xml:space="preserve">ESCABARTE, MARK GIL PEDRAJAS</t>
  </si>
  <si>
    <t xml:space="preserve">ESCALANTE, BRYAN JAY SUBARDIAGA</t>
  </si>
  <si>
    <t xml:space="preserve">ESTOYA, JILWIN JOSEPH LHIAN  PEÑFLORIDA</t>
  </si>
  <si>
    <t xml:space="preserve">FAMOSO, ALTHEA ENRIQUEZ</t>
  </si>
  <si>
    <t xml:space="preserve">FAMOSO, CARL TIA</t>
  </si>
  <si>
    <t xml:space="preserve">FAT, NERISA SALGADO</t>
  </si>
  <si>
    <t xml:space="preserve">FERNANDEZ, CHRISTOPHER LIMOTAO</t>
  </si>
  <si>
    <t xml:space="preserve">FERNANDEZ, PENNY LANE TALANQUINES</t>
  </si>
  <si>
    <t xml:space="preserve">FERNANDEZ, WENDELYN VALDEVIEZO</t>
  </si>
  <si>
    <t xml:space="preserve">FLORES, YL JOHN MAHINAY</t>
  </si>
  <si>
    <t xml:space="preserve">GAJO, JAYVEN KIM AMPARO</t>
  </si>
  <si>
    <t xml:space="preserve">GARANZO, LANCE GABRIEL CORDOVA</t>
  </si>
  <si>
    <t xml:space="preserve">GARGANTA, RICHARD ACABO</t>
  </si>
  <si>
    <t xml:space="preserve">GARIANDO, JUSTIN KIM CORREJADO</t>
  </si>
  <si>
    <t xml:space="preserve">GARSOLAO, IVY MARIE ALICAYA</t>
  </si>
  <si>
    <t xml:space="preserve">GASATAYA, RICO TALABAN</t>
  </si>
  <si>
    <t xml:space="preserve">GELBA, ABEGAIL VENUS</t>
  </si>
  <si>
    <t xml:space="preserve">GENGOS, JUN APOSTOL</t>
  </si>
  <si>
    <t xml:space="preserve">GENOVA, JAMES DELA CRUZ</t>
  </si>
  <si>
    <t xml:space="preserve">GEPULANI, JESSA MAE CALUBAQUIT</t>
  </si>
  <si>
    <t xml:space="preserve">GERALDOY, PRECIOUS MARIE BAT-OG</t>
  </si>
  <si>
    <t xml:space="preserve">GESTUPA, STEPHINE NICKLE COLIMBO</t>
  </si>
  <si>
    <t xml:space="preserve">GILGON, ABEGAIL PELARA</t>
  </si>
  <si>
    <t xml:space="preserve">GITALAN, JOHN MARK GRANFIEL</t>
  </si>
  <si>
    <t xml:space="preserve">GORDO, PAUL GREG BAJO</t>
  </si>
  <si>
    <t xml:space="preserve">GRANDEA, JOSE REY URBANOZO</t>
  </si>
  <si>
    <t xml:space="preserve">GUILARAN, CHRISTIAN VILLAMAR</t>
  </si>
  <si>
    <t xml:space="preserve">HERMOSURA, JAYCA FUNDADOR</t>
  </si>
  <si>
    <t xml:space="preserve">HILADO, CATHERINE SALVILLA</t>
  </si>
  <si>
    <t xml:space="preserve">IBAÑEZ , ALFON FRANC DELA CRUZ</t>
  </si>
  <si>
    <t xml:space="preserve">IBAÑEZ, LEO CASSANDRE DIONILLO</t>
  </si>
  <si>
    <t xml:space="preserve">ILUSTRISIMO, REYNALDO SAYSON</t>
  </si>
  <si>
    <t xml:space="preserve">ILUSTRISIMO, REYSHEL SAYSON</t>
  </si>
  <si>
    <t xml:space="preserve">JAIN, HARVEY ARIOLA</t>
  </si>
  <si>
    <t xml:space="preserve">LACHICA, ALTHEIA ROSE CASIDSID</t>
  </si>
  <si>
    <t xml:space="preserve">LACSON, NOVIE VALENTINO</t>
  </si>
  <si>
    <t xml:space="preserve">LAURITO, MJ MEDES</t>
  </si>
  <si>
    <t xml:space="preserve">LAYAN, JOHN REL RAGO</t>
  </si>
  <si>
    <t xml:space="preserve">LIBRE, MARIEL CAUSAPIN</t>
  </si>
  <si>
    <t xml:space="preserve">LIRAZAN, ADRIAN PANONCIAL</t>
  </si>
  <si>
    <t xml:space="preserve">LOZANA, REGEL KEN MAGDAEL</t>
  </si>
  <si>
    <t xml:space="preserve">LUCASAN, ARC XERLAN DULLA</t>
  </si>
  <si>
    <t xml:space="preserve">SILPAO, ADRIAN FREDERICK GATDULA</t>
  </si>
  <si>
    <t xml:space="preserve">SILPAO, ANDREI ANTONIO GATDULA</t>
  </si>
  <si>
    <t xml:space="preserve">SUMAGAYSAY, MAY ANN MOREÑO</t>
  </si>
  <si>
    <t xml:space="preserve">TAGULALAC, ANDREI CHRISTOPHER RAVINA</t>
  </si>
  <si>
    <t xml:space="preserve">TANAYA, KENNA ROSE DEE PERDENIA</t>
  </si>
  <si>
    <t xml:space="preserve">LAPUZ, KEN HUXLEY</t>
  </si>
  <si>
    <t xml:space="preserve">PRELIM PERIOD</t>
  </si>
  <si>
    <t xml:space="preserve">QUIZZES</t>
  </si>
  <si>
    <t xml:space="preserve">CLASS PART. /OTHERS</t>
  </si>
  <si>
    <t xml:space="preserve">PERIODIC TEST</t>
  </si>
  <si>
    <t xml:space="preserve">Periodical Grade</t>
  </si>
  <si>
    <t xml:space="preserve">Q1</t>
  </si>
  <si>
    <t xml:space="preserve">Q2</t>
  </si>
  <si>
    <t xml:space="preserve">Q3</t>
  </si>
  <si>
    <t xml:space="preserve">Q4</t>
  </si>
  <si>
    <t xml:space="preserve">Q5</t>
  </si>
  <si>
    <t xml:space="preserve">Q6</t>
  </si>
  <si>
    <t xml:space="preserve">Q7</t>
  </si>
  <si>
    <t xml:space="preserve">Q8</t>
  </si>
  <si>
    <t xml:space="preserve">Q9</t>
  </si>
  <si>
    <t xml:space="preserve">Q10</t>
  </si>
  <si>
    <t xml:space="preserve">Total</t>
  </si>
  <si>
    <t xml:space="preserve">TS</t>
  </si>
  <si>
    <t xml:space="preserve">WS</t>
  </si>
  <si>
    <t xml:space="preserve">CP1</t>
  </si>
  <si>
    <t xml:space="preserve">CP2</t>
  </si>
  <si>
    <t xml:space="preserve">CP3</t>
  </si>
  <si>
    <t xml:space="preserve">CP4</t>
  </si>
  <si>
    <t xml:space="preserve">CP5</t>
  </si>
  <si>
    <t xml:space="preserve">PE</t>
  </si>
  <si>
    <t xml:space="preserve">HIGHEST POSSIBLE SCORE</t>
  </si>
  <si>
    <t xml:space="preserve">MIDTERM PERIOD</t>
  </si>
  <si>
    <t xml:space="preserve">ME</t>
  </si>
  <si>
    <t xml:space="preserve">ENDTERM PERIOD</t>
  </si>
  <si>
    <t xml:space="preserve">FE</t>
  </si>
  <si>
    <t xml:space="preserve">GRADE SHEET</t>
  </si>
  <si>
    <t xml:space="preserve">PRELIM</t>
  </si>
  <si>
    <t xml:space="preserve">MIDTERM</t>
  </si>
  <si>
    <t xml:space="preserve">ENDTERM</t>
  </si>
  <si>
    <t xml:space="preserve">FINAL GRADE</t>
  </si>
  <si>
    <t xml:space="preserve">Instructor's Signature Over Printed Name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</si>
</sst>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"/>
    <numFmt numFmtId="166" formatCode="0%"/>
  </numFmts>
  <fonts count="1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22"/>
      <color theme="1"/>
      <name val="Old English Text MT"/>
      <family val="4"/>
      <charset val="1"/>
    </font>
    <font>
      <sz val="11"/>
      <color theme="1"/>
      <name val="Arial"/>
      <family val="2"/>
      <charset val="1"/>
    </font>
    <font>
      <b val="true"/>
      <sz val="18"/>
      <color rgb="FFC00000"/>
      <name val="Arial"/>
      <family val="2"/>
      <charset val="1"/>
    </font>
    <font>
      <b val="true"/>
      <sz val="14"/>
      <color theme="1"/>
      <name val="Arial"/>
      <family val="2"/>
      <charset val="1"/>
    </font>
    <font>
      <b val="true"/>
      <sz val="12"/>
      <color theme="1"/>
      <name val="Arial"/>
      <family val="2"/>
      <charset val="1"/>
    </font>
    <font>
      <sz val="12"/>
      <color theme="1"/>
      <name val="Arial"/>
      <family val="2"/>
      <charset val="1"/>
    </font>
    <font>
      <b val="true"/>
      <vertAlign val="superscript"/>
      <sz val="12"/>
      <color theme="1"/>
      <name val="Arial"/>
      <family val="2"/>
      <charset val="1"/>
    </font>
    <font>
      <b val="true"/>
      <sz val="16"/>
      <color theme="1"/>
      <name val="Arial"/>
      <family val="2"/>
      <charset val="1"/>
    </font>
    <font>
      <b val="true"/>
      <sz val="24"/>
      <color rgb="FFC00000"/>
      <name val="Arial"/>
      <family val="2"/>
      <charset val="1"/>
    </font>
    <font>
      <b val="true"/>
      <sz val="11"/>
      <color theme="1"/>
      <name val="Arial"/>
      <family val="2"/>
      <charset val="1"/>
    </font>
    <font>
      <b val="true"/>
      <u val="single"/>
      <sz val="14"/>
      <color theme="1"/>
      <name val="Arial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theme="0" tint="-0.15"/>
        <bgColor rgb="FFFFC7CE"/>
      </patternFill>
    </fill>
    <fill>
      <patternFill patternType="solid">
        <fgColor theme="0" tint="-0.35"/>
        <bgColor rgb="FFBFBFBF"/>
      </patternFill>
    </fill>
    <fill>
      <patternFill patternType="solid">
        <fgColor theme="0" tint="-0.25"/>
        <bgColor rgb="FFA6A6A6"/>
      </patternFill>
    </fill>
  </fills>
  <borders count="1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 style="thin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8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8" fillId="0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8" fillId="0" borderId="2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11" fillId="3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9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8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3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0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3" borderId="7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13" fillId="3" borderId="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3" fillId="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5" fillId="0" borderId="8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0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3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7" fillId="4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8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9" fillId="0" borderId="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1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4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5">
    <dxf>
      <fill>
        <patternFill>
          <bgColor rgb="FF7FBA3E"/>
        </patternFill>
      </fill>
    </dxf>
    <dxf>
      <fill>
        <patternFill>
          <bgColor rgb="FF49B428"/>
        </patternFill>
      </fill>
    </dxf>
    <dxf>
      <fill>
        <patternFill>
          <bgColor rgb="FF49BE28"/>
        </patternFill>
      </fill>
    </dxf>
    <dxf>
      <fill>
        <patternFill>
          <bgColor rgb="FF49B428"/>
        </patternFill>
      </fill>
    </dxf>
    <dxf>
      <fill>
        <patternFill>
          <bgColor rgb="FF49A828"/>
        </patternFill>
      </fill>
    </dxf>
    <dxf>
      <fill>
        <patternFill>
          <bgColor rgb="FF00A6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ill>
        <patternFill>
          <bgColor rgb="FF49B428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9C0006"/>
      <rgbColor rgb="FF00A600"/>
      <rgbColor rgb="FF000080"/>
      <rgbColor rgb="FF49B428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49BE28"/>
      <rgbColor rgb="FF7FBA3E"/>
      <rgbColor rgb="FFFFCC00"/>
      <rgbColor rgb="FFFF9900"/>
      <rgbColor rgb="FFFF6600"/>
      <rgbColor rgb="FF666699"/>
      <rgbColor rgb="FFA6A6A6"/>
      <rgbColor rgb="FF003366"/>
      <rgbColor rgb="FF49A828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image" Target="../media/image3.jpeg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image" Target="../media/image4.jpeg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image" Target="../media/image5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409680</xdr:colOff>
      <xdr:row>0</xdr:row>
      <xdr:rowOff>114480</xdr:rowOff>
    </xdr:from>
    <xdr:to>
      <xdr:col>2</xdr:col>
      <xdr:colOff>145800</xdr:colOff>
      <xdr:row>3</xdr:row>
      <xdr:rowOff>148320</xdr:rowOff>
    </xdr:to>
    <xdr:pic>
      <xdr:nvPicPr>
        <xdr:cNvPr id="0" name="Picture 1" descr=""/>
        <xdr:cNvPicPr/>
      </xdr:nvPicPr>
      <xdr:blipFill>
        <a:blip r:embed="rId1"/>
        <a:stretch/>
      </xdr:blipFill>
      <xdr:spPr>
        <a:xfrm>
          <a:off x="409680" y="114480"/>
          <a:ext cx="823320" cy="75528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3031560</xdr:colOff>
      <xdr:row>3</xdr:row>
      <xdr:rowOff>151200</xdr:rowOff>
    </xdr:to>
    <xdr:pic>
      <xdr:nvPicPr>
        <xdr:cNvPr id="1" name="Picture 1" descr=""/>
        <xdr:cNvPicPr/>
      </xdr:nvPicPr>
      <xdr:blipFill>
        <a:blip r:embed="rId1"/>
        <a:stretch/>
      </xdr:blipFill>
      <xdr:spPr>
        <a:xfrm>
          <a:off x="2642760" y="66600"/>
          <a:ext cx="821880" cy="8060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3031560</xdr:colOff>
      <xdr:row>3</xdr:row>
      <xdr:rowOff>151200</xdr:rowOff>
    </xdr:to>
    <xdr:pic>
      <xdr:nvPicPr>
        <xdr:cNvPr id="2" name="Picture 1" descr=""/>
        <xdr:cNvPicPr/>
      </xdr:nvPicPr>
      <xdr:blipFill>
        <a:blip r:embed="rId1"/>
        <a:stretch/>
      </xdr:blipFill>
      <xdr:spPr>
        <a:xfrm>
          <a:off x="2642760" y="66600"/>
          <a:ext cx="821880" cy="8060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3031560</xdr:colOff>
      <xdr:row>3</xdr:row>
      <xdr:rowOff>150120</xdr:rowOff>
    </xdr:to>
    <xdr:pic>
      <xdr:nvPicPr>
        <xdr:cNvPr id="3" name="Picture 1" descr=""/>
        <xdr:cNvPicPr/>
      </xdr:nvPicPr>
      <xdr:blipFill>
        <a:blip r:embed="rId1"/>
        <a:stretch/>
      </xdr:blipFill>
      <xdr:spPr>
        <a:xfrm>
          <a:off x="2642760" y="66600"/>
          <a:ext cx="821880" cy="80496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1028880</xdr:colOff>
      <xdr:row>0</xdr:row>
      <xdr:rowOff>85680</xdr:rowOff>
    </xdr:from>
    <xdr:to>
      <xdr:col>2</xdr:col>
      <xdr:colOff>88560</xdr:colOff>
      <xdr:row>3</xdr:row>
      <xdr:rowOff>186120</xdr:rowOff>
    </xdr:to>
    <xdr:pic>
      <xdr:nvPicPr>
        <xdr:cNvPr id="4" name="Picture 1" descr=""/>
        <xdr:cNvPicPr/>
      </xdr:nvPicPr>
      <xdr:blipFill>
        <a:blip r:embed="rId1"/>
        <a:stretch/>
      </xdr:blipFill>
      <xdr:spPr>
        <a:xfrm>
          <a:off x="1461960" y="85680"/>
          <a:ext cx="922680" cy="82188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124"/>
  <sheetViews>
    <sheetView showFormulas="false" showGridLines="false" showRowColHeaders="true" showZeros="false" rightToLeft="false" tabSelected="false" showOutlineSymbols="true" defaultGridColor="true" view="normal" topLeftCell="A4" colorId="64" zoomScale="75" zoomScaleNormal="75" zoomScalePageLayoutView="100" workbookViewId="0">
      <selection pane="topLeft" activeCell="K25" activeCellId="0" sqref="K25"/>
    </sheetView>
  </sheetViews>
  <sheetFormatPr defaultColWidth="9.1484375" defaultRowHeight="15" customHeight="true" zeroHeight="false" outlineLevelRow="0" outlineLevelCol="0"/>
  <cols>
    <col collapsed="false" customWidth="true" hidden="false" outlineLevel="0" max="2" min="2" style="1" width="6.28"/>
    <col collapsed="false" customWidth="true" hidden="false" outlineLevel="0" max="3" min="3" style="1" width="15"/>
    <col collapsed="false" customWidth="true" hidden="false" outlineLevel="0" max="6" min="6" style="1" width="24"/>
    <col collapsed="false" customWidth="true" hidden="false" outlineLevel="0" max="7" min="7" style="1" width="15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</row>
    <row r="4" customFormat="false" ht="15" hidden="false" customHeight="false" outlineLevel="0" collapsed="false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 customFormat="false" ht="22.05" hidden="false" customHeight="false" outlineLevel="0" collapsed="false">
      <c r="A5" s="7" t="s">
        <v>3</v>
      </c>
      <c r="B5" s="7"/>
      <c r="C5" s="7"/>
      <c r="D5" s="7"/>
      <c r="E5" s="7"/>
      <c r="F5" s="7"/>
      <c r="G5" s="7"/>
      <c r="H5" s="7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</row>
    <row r="7" customFormat="false" ht="15" hidden="false" customHeight="false" outlineLevel="0" collapsed="false">
      <c r="B7" s="9" t="s">
        <v>4</v>
      </c>
      <c r="C7" s="9"/>
      <c r="D7" s="10" t="s">
        <v>5</v>
      </c>
      <c r="E7" s="10"/>
      <c r="F7" s="11"/>
      <c r="G7" s="11"/>
    </row>
    <row r="8" customFormat="false" ht="6" hidden="false" customHeight="true" outlineLevel="0" collapsed="false">
      <c r="B8" s="12"/>
      <c r="C8" s="12"/>
      <c r="D8" s="13"/>
      <c r="E8" s="13"/>
      <c r="F8" s="13"/>
      <c r="G8" s="11"/>
    </row>
    <row r="9" customFormat="false" ht="15" hidden="false" customHeight="false" outlineLevel="0" collapsed="false">
      <c r="B9" s="9" t="s">
        <v>6</v>
      </c>
      <c r="C9" s="9"/>
      <c r="D9" s="10" t="s">
        <v>7</v>
      </c>
      <c r="E9" s="10"/>
      <c r="F9" s="11"/>
      <c r="G9" s="11"/>
    </row>
    <row r="10" customFormat="false" ht="5.25" hidden="false" customHeight="true" outlineLevel="0" collapsed="false">
      <c r="B10" s="12"/>
      <c r="C10" s="12"/>
      <c r="D10" s="13"/>
      <c r="E10" s="13"/>
      <c r="F10" s="13"/>
      <c r="G10" s="11"/>
    </row>
    <row r="11" customFormat="false" ht="30" hidden="false" customHeight="true" outlineLevel="0" collapsed="false">
      <c r="B11" s="9" t="s">
        <v>8</v>
      </c>
      <c r="C11" s="9"/>
      <c r="D11" s="14" t="s">
        <v>9</v>
      </c>
      <c r="E11" s="14"/>
      <c r="F11" s="14"/>
      <c r="G11" s="11"/>
    </row>
    <row r="12" customFormat="false" ht="5.25" hidden="false" customHeight="true" outlineLevel="0" collapsed="false">
      <c r="B12" s="12"/>
      <c r="C12" s="12"/>
      <c r="D12" s="13"/>
      <c r="E12" s="13"/>
      <c r="F12" s="13"/>
      <c r="G12" s="11"/>
    </row>
    <row r="13" customFormat="false" ht="15" hidden="false" customHeight="false" outlineLevel="0" collapsed="false">
      <c r="B13" s="9" t="s">
        <v>10</v>
      </c>
      <c r="C13" s="9"/>
      <c r="D13" s="10"/>
      <c r="E13" s="10"/>
      <c r="F13" s="11"/>
      <c r="G13" s="11"/>
    </row>
    <row r="14" customFormat="false" ht="5.25" hidden="false" customHeight="true" outlineLevel="0" collapsed="false">
      <c r="B14" s="12"/>
      <c r="C14" s="12"/>
      <c r="D14" s="13"/>
      <c r="E14" s="13"/>
      <c r="F14" s="13"/>
      <c r="G14" s="11"/>
    </row>
    <row r="15" customFormat="false" ht="15" hidden="false" customHeight="false" outlineLevel="0" collapsed="false">
      <c r="B15" s="9" t="s">
        <v>11</v>
      </c>
      <c r="C15" s="9"/>
      <c r="D15" s="10"/>
      <c r="E15" s="10"/>
      <c r="F15" s="11"/>
      <c r="G15" s="11"/>
    </row>
    <row r="16" customFormat="false" ht="4.5" hidden="false" customHeight="true" outlineLevel="0" collapsed="false">
      <c r="B16" s="12"/>
      <c r="C16" s="12"/>
      <c r="D16" s="13"/>
      <c r="E16" s="13"/>
      <c r="F16" s="13"/>
      <c r="G16" s="11"/>
    </row>
    <row r="17" customFormat="false" ht="15.75" hidden="false" customHeight="true" outlineLevel="0" collapsed="false">
      <c r="A17" s="15" t="s">
        <v>12</v>
      </c>
      <c r="B17" s="15"/>
      <c r="C17" s="15"/>
      <c r="D17" s="10" t="s">
        <v>13</v>
      </c>
      <c r="E17" s="10"/>
      <c r="F17" s="10"/>
      <c r="G17" s="10"/>
    </row>
    <row r="18" customFormat="false" ht="18" hidden="false" customHeight="true" outlineLevel="0" collapsed="false">
      <c r="B18" s="12"/>
      <c r="C18" s="12"/>
      <c r="D18" s="13"/>
      <c r="E18" s="13"/>
      <c r="F18" s="13"/>
      <c r="G18" s="11"/>
    </row>
    <row r="19" customFormat="false" ht="19.7" hidden="false" customHeight="false" outlineLevel="0" collapsed="false">
      <c r="B19" s="16" t="s">
        <v>14</v>
      </c>
      <c r="C19" s="16" t="s">
        <v>15</v>
      </c>
      <c r="D19" s="16"/>
      <c r="E19" s="16"/>
      <c r="F19" s="16"/>
      <c r="G19" s="16" t="s">
        <v>16</v>
      </c>
    </row>
    <row r="20" customFormat="false" ht="15" hidden="false" customHeight="false" outlineLevel="0" collapsed="false">
      <c r="B20" s="17" t="n">
        <f aca="false">IF(C20&lt;&gt;"",COUNTA($C$20),"")</f>
        <v>1</v>
      </c>
      <c r="C20" s="18" t="s">
        <v>17</v>
      </c>
      <c r="D20" s="18"/>
      <c r="E20" s="18"/>
      <c r="F20" s="18"/>
      <c r="G20" s="19"/>
    </row>
    <row r="21" customFormat="false" ht="15" hidden="false" customHeight="false" outlineLevel="0" collapsed="false">
      <c r="B21" s="17" t="n">
        <f aca="false">IF(C21&lt;&gt;"",COUNTA($C$20:C21),"")</f>
        <v>2</v>
      </c>
      <c r="C21" s="18" t="s">
        <v>18</v>
      </c>
      <c r="D21" s="18"/>
      <c r="E21" s="18"/>
      <c r="F21" s="18"/>
      <c r="G21" s="19"/>
    </row>
    <row r="22" customFormat="false" ht="15" hidden="false" customHeight="false" outlineLevel="0" collapsed="false">
      <c r="B22" s="17" t="n">
        <f aca="false">IF(C22&lt;&gt;"",COUNTA($C$20:C22),"")</f>
        <v>3</v>
      </c>
      <c r="C22" s="18" t="s">
        <v>19</v>
      </c>
      <c r="D22" s="18"/>
      <c r="E22" s="18"/>
      <c r="F22" s="18"/>
      <c r="G22" s="19"/>
    </row>
    <row r="23" customFormat="false" ht="15" hidden="false" customHeight="false" outlineLevel="0" collapsed="false">
      <c r="B23" s="17" t="n">
        <f aca="false">IF(C23&lt;&gt;"",COUNTA($C$20:C23),"")</f>
        <v>4</v>
      </c>
      <c r="C23" s="18" t="s">
        <v>20</v>
      </c>
      <c r="D23" s="18"/>
      <c r="E23" s="18"/>
      <c r="F23" s="18"/>
      <c r="G23" s="19"/>
    </row>
    <row r="24" customFormat="false" ht="15" hidden="false" customHeight="false" outlineLevel="0" collapsed="false">
      <c r="B24" s="17" t="n">
        <f aca="false">IF(C24&lt;&gt;"",COUNTA($C$20:C24),"")</f>
        <v>5</v>
      </c>
      <c r="C24" s="18" t="s">
        <v>21</v>
      </c>
      <c r="D24" s="18"/>
      <c r="E24" s="18"/>
      <c r="F24" s="18"/>
      <c r="G24" s="19"/>
    </row>
    <row r="25" customFormat="false" ht="15" hidden="false" customHeight="false" outlineLevel="0" collapsed="false">
      <c r="B25" s="17" t="n">
        <f aca="false">IF(C25&lt;&gt;"",COUNTA($C$20:C25),"")</f>
        <v>6</v>
      </c>
      <c r="C25" s="18" t="s">
        <v>22</v>
      </c>
      <c r="D25" s="18"/>
      <c r="E25" s="18"/>
      <c r="F25" s="18"/>
      <c r="G25" s="19"/>
    </row>
    <row r="26" customFormat="false" ht="15" hidden="false" customHeight="false" outlineLevel="0" collapsed="false">
      <c r="B26" s="17" t="n">
        <f aca="false">IF(C26&lt;&gt;"",COUNTA($C$20:C26),"")</f>
        <v>7</v>
      </c>
      <c r="C26" s="18" t="s">
        <v>23</v>
      </c>
      <c r="D26" s="18"/>
      <c r="E26" s="18"/>
      <c r="F26" s="18"/>
      <c r="G26" s="19"/>
    </row>
    <row r="27" customFormat="false" ht="15" hidden="false" customHeight="false" outlineLevel="0" collapsed="false">
      <c r="B27" s="17" t="n">
        <f aca="false">IF(C27&lt;&gt;"",COUNTA($C$20:C27),"")</f>
        <v>8</v>
      </c>
      <c r="C27" s="18" t="s">
        <v>24</v>
      </c>
      <c r="D27" s="18"/>
      <c r="E27" s="18"/>
      <c r="F27" s="18"/>
      <c r="G27" s="19"/>
    </row>
    <row r="28" customFormat="false" ht="15" hidden="false" customHeight="false" outlineLevel="0" collapsed="false">
      <c r="B28" s="17" t="n">
        <f aca="false">IF(C28&lt;&gt;"",COUNTA($C$20:C28),"")</f>
        <v>9</v>
      </c>
      <c r="C28" s="18" t="s">
        <v>25</v>
      </c>
      <c r="D28" s="18"/>
      <c r="E28" s="18"/>
      <c r="F28" s="18"/>
      <c r="G28" s="19"/>
    </row>
    <row r="29" customFormat="false" ht="15" hidden="false" customHeight="false" outlineLevel="0" collapsed="false">
      <c r="B29" s="17" t="n">
        <f aca="false">IF(C29&lt;&gt;"",COUNTA($C$20:C29),"")</f>
        <v>10</v>
      </c>
      <c r="C29" s="18" t="s">
        <v>26</v>
      </c>
      <c r="D29" s="18"/>
      <c r="E29" s="18"/>
      <c r="F29" s="18"/>
      <c r="G29" s="19"/>
    </row>
    <row r="30" customFormat="false" ht="15" hidden="false" customHeight="false" outlineLevel="0" collapsed="false">
      <c r="B30" s="17" t="n">
        <f aca="false">IF(C30&lt;&gt;"",COUNTA($C$20:C30),"")</f>
        <v>11</v>
      </c>
      <c r="C30" s="18" t="s">
        <v>27</v>
      </c>
      <c r="D30" s="18"/>
      <c r="E30" s="18"/>
      <c r="F30" s="18"/>
      <c r="G30" s="19"/>
    </row>
    <row r="31" customFormat="false" ht="15" hidden="false" customHeight="false" outlineLevel="0" collapsed="false">
      <c r="B31" s="17" t="n">
        <f aca="false">IF(C31&lt;&gt;"",COUNTA($C$20:C31),"")</f>
        <v>12</v>
      </c>
      <c r="C31" s="18" t="s">
        <v>28</v>
      </c>
      <c r="D31" s="18"/>
      <c r="E31" s="18"/>
      <c r="F31" s="18"/>
      <c r="G31" s="19"/>
    </row>
    <row r="32" customFormat="false" ht="15" hidden="false" customHeight="false" outlineLevel="0" collapsed="false">
      <c r="B32" s="17" t="n">
        <f aca="false">IF(C32&lt;&gt;"",COUNTA($C$20:C32),"")</f>
        <v>13</v>
      </c>
      <c r="C32" s="18" t="s">
        <v>29</v>
      </c>
      <c r="D32" s="18"/>
      <c r="E32" s="18"/>
      <c r="F32" s="18"/>
      <c r="G32" s="19"/>
    </row>
    <row r="33" customFormat="false" ht="15" hidden="false" customHeight="false" outlineLevel="0" collapsed="false">
      <c r="B33" s="17" t="n">
        <f aca="false">IF(C33&lt;&gt;"",COUNTA($C$20:C33),"")</f>
        <v>14</v>
      </c>
      <c r="C33" s="18" t="s">
        <v>30</v>
      </c>
      <c r="D33" s="18"/>
      <c r="E33" s="18"/>
      <c r="F33" s="18"/>
      <c r="G33" s="19"/>
    </row>
    <row r="34" customFormat="false" ht="15" hidden="false" customHeight="false" outlineLevel="0" collapsed="false">
      <c r="B34" s="17" t="n">
        <f aca="false">IF(C34&lt;&gt;"",COUNTA($C$20:C34),"")</f>
        <v>15</v>
      </c>
      <c r="C34" s="18" t="s">
        <v>31</v>
      </c>
      <c r="D34" s="18"/>
      <c r="E34" s="18"/>
      <c r="F34" s="18"/>
      <c r="G34" s="19"/>
    </row>
    <row r="35" customFormat="false" ht="15" hidden="false" customHeight="false" outlineLevel="0" collapsed="false">
      <c r="B35" s="17" t="n">
        <f aca="false">IF(C35&lt;&gt;"",COUNTA($C$20:C35),"")</f>
        <v>16</v>
      </c>
      <c r="C35" s="18" t="s">
        <v>32</v>
      </c>
      <c r="D35" s="18"/>
      <c r="E35" s="18"/>
      <c r="F35" s="18"/>
      <c r="G35" s="19"/>
    </row>
    <row r="36" customFormat="false" ht="15" hidden="false" customHeight="false" outlineLevel="0" collapsed="false">
      <c r="B36" s="17" t="n">
        <f aca="false">IF(C36&lt;&gt;"",COUNTA($C$20:C36),"")</f>
        <v>17</v>
      </c>
      <c r="C36" s="18" t="s">
        <v>33</v>
      </c>
      <c r="D36" s="18"/>
      <c r="E36" s="18"/>
      <c r="F36" s="18"/>
      <c r="G36" s="19"/>
    </row>
    <row r="37" customFormat="false" ht="15" hidden="false" customHeight="false" outlineLevel="0" collapsed="false">
      <c r="B37" s="17" t="n">
        <f aca="false">IF(C37&lt;&gt;"",COUNTA($C$20:C37),"")</f>
        <v>18</v>
      </c>
      <c r="C37" s="18" t="s">
        <v>34</v>
      </c>
      <c r="D37" s="18"/>
      <c r="E37" s="18"/>
      <c r="F37" s="18"/>
      <c r="G37" s="19"/>
    </row>
    <row r="38" customFormat="false" ht="15" hidden="false" customHeight="false" outlineLevel="0" collapsed="false">
      <c r="B38" s="17" t="n">
        <f aca="false">IF(C38&lt;&gt;"",COUNTA($C$20:C38),"")</f>
        <v>19</v>
      </c>
      <c r="C38" s="18" t="s">
        <v>35</v>
      </c>
      <c r="D38" s="18"/>
      <c r="E38" s="18"/>
      <c r="F38" s="18"/>
      <c r="G38" s="19"/>
    </row>
    <row r="39" customFormat="false" ht="15" hidden="false" customHeight="false" outlineLevel="0" collapsed="false">
      <c r="B39" s="17" t="n">
        <f aca="false">IF(C39&lt;&gt;"",COUNTA($C$20:C39),"")</f>
        <v>20</v>
      </c>
      <c r="C39" s="18" t="s">
        <v>36</v>
      </c>
      <c r="D39" s="18"/>
      <c r="E39" s="18"/>
      <c r="F39" s="18"/>
      <c r="G39" s="19"/>
    </row>
    <row r="40" customFormat="false" ht="15" hidden="false" customHeight="false" outlineLevel="0" collapsed="false">
      <c r="B40" s="17" t="n">
        <f aca="false">IF(C40&lt;&gt;"",COUNTA($C$20:C40),"")</f>
        <v>21</v>
      </c>
      <c r="C40" s="18" t="s">
        <v>37</v>
      </c>
      <c r="D40" s="18"/>
      <c r="E40" s="18"/>
      <c r="F40" s="18"/>
      <c r="G40" s="19"/>
    </row>
    <row r="41" customFormat="false" ht="15" hidden="false" customHeight="false" outlineLevel="0" collapsed="false">
      <c r="B41" s="17" t="n">
        <f aca="false">IF(C41&lt;&gt;"",COUNTA($C$20:C41),"")</f>
        <v>22</v>
      </c>
      <c r="C41" s="18" t="s">
        <v>38</v>
      </c>
      <c r="D41" s="18"/>
      <c r="E41" s="18"/>
      <c r="F41" s="18"/>
      <c r="G41" s="19"/>
    </row>
    <row r="42" customFormat="false" ht="15" hidden="false" customHeight="false" outlineLevel="0" collapsed="false">
      <c r="B42" s="17" t="n">
        <f aca="false">IF(C42&lt;&gt;"",COUNTA($C$20:C42),"")</f>
        <v>23</v>
      </c>
      <c r="C42" s="18" t="s">
        <v>39</v>
      </c>
      <c r="D42" s="18"/>
      <c r="E42" s="18"/>
      <c r="F42" s="18"/>
      <c r="G42" s="19"/>
    </row>
    <row r="43" customFormat="false" ht="15" hidden="false" customHeight="false" outlineLevel="0" collapsed="false">
      <c r="B43" s="17" t="n">
        <f aca="false">IF(C43&lt;&gt;"",COUNTA($C$20:C43),"")</f>
        <v>24</v>
      </c>
      <c r="C43" s="18" t="s">
        <v>40</v>
      </c>
      <c r="D43" s="18"/>
      <c r="E43" s="18"/>
      <c r="F43" s="18"/>
      <c r="G43" s="19"/>
    </row>
    <row r="44" customFormat="false" ht="15" hidden="false" customHeight="false" outlineLevel="0" collapsed="false">
      <c r="B44" s="17" t="n">
        <f aca="false">IF(C44&lt;&gt;"",COUNTA($C$20:C44),"")</f>
        <v>25</v>
      </c>
      <c r="C44" s="18" t="s">
        <v>41</v>
      </c>
      <c r="D44" s="18"/>
      <c r="E44" s="18"/>
      <c r="F44" s="18"/>
      <c r="G44" s="19"/>
    </row>
    <row r="45" customFormat="false" ht="15" hidden="false" customHeight="false" outlineLevel="0" collapsed="false">
      <c r="B45" s="17" t="n">
        <f aca="false">IF(C45&lt;&gt;"",COUNTA($C$20:C45),"")</f>
        <v>26</v>
      </c>
      <c r="C45" s="18" t="s">
        <v>42</v>
      </c>
      <c r="D45" s="18"/>
      <c r="E45" s="18"/>
      <c r="F45" s="18"/>
      <c r="G45" s="19"/>
    </row>
    <row r="46" customFormat="false" ht="15" hidden="false" customHeight="false" outlineLevel="0" collapsed="false">
      <c r="B46" s="17" t="n">
        <f aca="false">IF(C46&lt;&gt;"",COUNTA($C$20:C46),"")</f>
        <v>27</v>
      </c>
      <c r="C46" s="18" t="s">
        <v>43</v>
      </c>
      <c r="D46" s="18"/>
      <c r="E46" s="18"/>
      <c r="F46" s="18"/>
      <c r="G46" s="19"/>
    </row>
    <row r="47" customFormat="false" ht="15" hidden="false" customHeight="false" outlineLevel="0" collapsed="false">
      <c r="B47" s="17" t="n">
        <f aca="false">IF(C47&lt;&gt;"",COUNTA($C$20:C47),"")</f>
        <v>28</v>
      </c>
      <c r="C47" s="18" t="s">
        <v>44</v>
      </c>
      <c r="D47" s="18"/>
      <c r="E47" s="18"/>
      <c r="F47" s="18"/>
      <c r="G47" s="19"/>
    </row>
    <row r="48" customFormat="false" ht="15" hidden="false" customHeight="false" outlineLevel="0" collapsed="false">
      <c r="B48" s="17" t="n">
        <f aca="false">IF(C48&lt;&gt;"",COUNTA($C$20:C48),"")</f>
        <v>29</v>
      </c>
      <c r="C48" s="18" t="s">
        <v>45</v>
      </c>
      <c r="D48" s="18"/>
      <c r="E48" s="18"/>
      <c r="F48" s="18"/>
      <c r="G48" s="19"/>
    </row>
    <row r="49" customFormat="false" ht="15" hidden="false" customHeight="false" outlineLevel="0" collapsed="false">
      <c r="B49" s="17" t="n">
        <f aca="false">IF(C49&lt;&gt;"",COUNTA($C$20:C49),"")</f>
        <v>30</v>
      </c>
      <c r="C49" s="18" t="s">
        <v>46</v>
      </c>
      <c r="D49" s="18"/>
      <c r="E49" s="18"/>
      <c r="F49" s="18"/>
      <c r="G49" s="19"/>
    </row>
    <row r="50" customFormat="false" ht="15" hidden="false" customHeight="false" outlineLevel="0" collapsed="false">
      <c r="B50" s="17" t="n">
        <f aca="false">IF(C50&lt;&gt;"",COUNTA($C$20:C50),"")</f>
        <v>31</v>
      </c>
      <c r="C50" s="18" t="s">
        <v>47</v>
      </c>
      <c r="D50" s="18"/>
      <c r="E50" s="18"/>
      <c r="F50" s="18"/>
      <c r="G50" s="19"/>
    </row>
    <row r="51" customFormat="false" ht="15" hidden="false" customHeight="false" outlineLevel="0" collapsed="false">
      <c r="B51" s="17" t="n">
        <f aca="false">IF(C51&lt;&gt;"",COUNTA($C$20:C51),"")</f>
        <v>32</v>
      </c>
      <c r="C51" s="18" t="s">
        <v>48</v>
      </c>
      <c r="D51" s="18"/>
      <c r="E51" s="18"/>
      <c r="F51" s="18"/>
      <c r="G51" s="19"/>
    </row>
    <row r="52" customFormat="false" ht="15" hidden="false" customHeight="false" outlineLevel="0" collapsed="false">
      <c r="B52" s="17" t="n">
        <f aca="false">IF(C52&lt;&gt;"",COUNTA($C$20:C52),"")</f>
        <v>33</v>
      </c>
      <c r="C52" s="18" t="s">
        <v>49</v>
      </c>
      <c r="D52" s="18"/>
      <c r="E52" s="18"/>
      <c r="F52" s="18"/>
      <c r="G52" s="19"/>
    </row>
    <row r="53" customFormat="false" ht="15" hidden="false" customHeight="false" outlineLevel="0" collapsed="false">
      <c r="B53" s="17" t="n">
        <f aca="false">IF(C53&lt;&gt;"",COUNTA($C$20:C53),"")</f>
        <v>34</v>
      </c>
      <c r="C53" s="18" t="s">
        <v>50</v>
      </c>
      <c r="D53" s="18"/>
      <c r="E53" s="18"/>
      <c r="F53" s="18"/>
      <c r="G53" s="19"/>
    </row>
    <row r="54" customFormat="false" ht="15" hidden="false" customHeight="false" outlineLevel="0" collapsed="false">
      <c r="B54" s="17" t="n">
        <f aca="false">IF(C54&lt;&gt;"",COUNTA($C$20:C54),"")</f>
        <v>35</v>
      </c>
      <c r="C54" s="18" t="s">
        <v>51</v>
      </c>
      <c r="D54" s="18"/>
      <c r="E54" s="18"/>
      <c r="F54" s="18"/>
      <c r="G54" s="19"/>
    </row>
    <row r="55" customFormat="false" ht="15" hidden="false" customHeight="false" outlineLevel="0" collapsed="false">
      <c r="B55" s="17" t="n">
        <f aca="false">IF(C55&lt;&gt;"",COUNTA($C$20:C55),"")</f>
        <v>36</v>
      </c>
      <c r="C55" s="18" t="s">
        <v>52</v>
      </c>
      <c r="D55" s="18"/>
      <c r="E55" s="18"/>
      <c r="F55" s="18"/>
      <c r="G55" s="19"/>
    </row>
    <row r="56" customFormat="false" ht="15" hidden="false" customHeight="false" outlineLevel="0" collapsed="false">
      <c r="B56" s="17" t="n">
        <f aca="false">IF(C56&lt;&gt;"",COUNTA($C$20:C56),"")</f>
        <v>37</v>
      </c>
      <c r="C56" s="18" t="s">
        <v>53</v>
      </c>
      <c r="D56" s="18"/>
      <c r="E56" s="18"/>
      <c r="F56" s="18"/>
      <c r="G56" s="19"/>
    </row>
    <row r="57" customFormat="false" ht="15" hidden="false" customHeight="false" outlineLevel="0" collapsed="false">
      <c r="B57" s="17" t="n">
        <f aca="false">IF(C57&lt;&gt;"",COUNTA($C$20:C57),"")</f>
        <v>38</v>
      </c>
      <c r="C57" s="18" t="s">
        <v>54</v>
      </c>
      <c r="D57" s="18"/>
      <c r="E57" s="18"/>
      <c r="F57" s="18"/>
      <c r="G57" s="19"/>
    </row>
    <row r="58" customFormat="false" ht="15" hidden="false" customHeight="false" outlineLevel="0" collapsed="false">
      <c r="B58" s="17" t="n">
        <f aca="false">IF(C58&lt;&gt;"",COUNTA($C$20:C58),"")</f>
        <v>39</v>
      </c>
      <c r="C58" s="18" t="s">
        <v>55</v>
      </c>
      <c r="D58" s="18"/>
      <c r="E58" s="18"/>
      <c r="F58" s="18"/>
      <c r="G58" s="19"/>
    </row>
    <row r="59" customFormat="false" ht="15" hidden="false" customHeight="false" outlineLevel="0" collapsed="false">
      <c r="B59" s="17" t="n">
        <f aca="false">IF(C59&lt;&gt;"",COUNTA($C$20:C59),"")</f>
        <v>40</v>
      </c>
      <c r="C59" s="18" t="s">
        <v>56</v>
      </c>
      <c r="D59" s="18"/>
      <c r="E59" s="18"/>
      <c r="F59" s="18"/>
      <c r="G59" s="19"/>
    </row>
    <row r="60" customFormat="false" ht="15" hidden="false" customHeight="false" outlineLevel="0" collapsed="false">
      <c r="B60" s="17" t="n">
        <f aca="false">IF(C60&lt;&gt;"",COUNTA($C$20:C60),"")</f>
        <v>41</v>
      </c>
      <c r="C60" s="18" t="s">
        <v>57</v>
      </c>
      <c r="D60" s="18"/>
      <c r="E60" s="18"/>
      <c r="F60" s="18"/>
      <c r="G60" s="19"/>
    </row>
    <row r="61" customFormat="false" ht="15" hidden="false" customHeight="false" outlineLevel="0" collapsed="false">
      <c r="B61" s="17" t="n">
        <f aca="false">IF(C61&lt;&gt;"",COUNTA($C$20:C61),"")</f>
        <v>42</v>
      </c>
      <c r="C61" s="18" t="s">
        <v>58</v>
      </c>
      <c r="D61" s="18"/>
      <c r="E61" s="18"/>
      <c r="F61" s="18"/>
      <c r="G61" s="19"/>
    </row>
    <row r="62" customFormat="false" ht="15" hidden="false" customHeight="false" outlineLevel="0" collapsed="false">
      <c r="B62" s="17" t="n">
        <f aca="false">IF(C62&lt;&gt;"",COUNTA($C$20:C62),"")</f>
        <v>43</v>
      </c>
      <c r="C62" s="18" t="s">
        <v>59</v>
      </c>
      <c r="D62" s="18"/>
      <c r="E62" s="18"/>
      <c r="F62" s="18"/>
      <c r="G62" s="19"/>
    </row>
    <row r="63" customFormat="false" ht="15" hidden="false" customHeight="false" outlineLevel="0" collapsed="false">
      <c r="B63" s="17" t="n">
        <f aca="false">IF(C63&lt;&gt;"",COUNTA($C$20:C63),"")</f>
        <v>44</v>
      </c>
      <c r="C63" s="18" t="s">
        <v>60</v>
      </c>
      <c r="D63" s="18"/>
      <c r="E63" s="18"/>
      <c r="F63" s="18"/>
      <c r="G63" s="19"/>
    </row>
    <row r="64" customFormat="false" ht="15" hidden="false" customHeight="false" outlineLevel="0" collapsed="false">
      <c r="B64" s="17" t="n">
        <f aca="false">IF(C64&lt;&gt;"",COUNTA($C$20:C64),"")</f>
        <v>45</v>
      </c>
      <c r="C64" s="18" t="s">
        <v>61</v>
      </c>
      <c r="D64" s="18"/>
      <c r="E64" s="18"/>
      <c r="F64" s="18"/>
      <c r="G64" s="19"/>
    </row>
    <row r="65" customFormat="false" ht="15" hidden="false" customHeight="false" outlineLevel="0" collapsed="false">
      <c r="B65" s="17" t="n">
        <f aca="false">IF(C65&lt;&gt;"",COUNTA($C$20:C65),"")</f>
        <v>46</v>
      </c>
      <c r="C65" s="18" t="s">
        <v>62</v>
      </c>
      <c r="D65" s="18"/>
      <c r="E65" s="18"/>
      <c r="F65" s="18"/>
      <c r="G65" s="19"/>
    </row>
    <row r="66" customFormat="false" ht="15" hidden="false" customHeight="false" outlineLevel="0" collapsed="false">
      <c r="B66" s="17" t="n">
        <f aca="false">IF(C66&lt;&gt;"",COUNTA($C$20:C66),"")</f>
        <v>47</v>
      </c>
      <c r="C66" s="18" t="s">
        <v>63</v>
      </c>
      <c r="D66" s="18"/>
      <c r="E66" s="18"/>
      <c r="F66" s="18"/>
      <c r="G66" s="19"/>
    </row>
    <row r="67" customFormat="false" ht="15" hidden="false" customHeight="false" outlineLevel="0" collapsed="false">
      <c r="B67" s="17" t="n">
        <f aca="false">IF(C67&lt;&gt;"",COUNTA($C$20:C67),"")</f>
        <v>48</v>
      </c>
      <c r="C67" s="18" t="s">
        <v>64</v>
      </c>
      <c r="D67" s="18"/>
      <c r="E67" s="18"/>
      <c r="F67" s="18"/>
      <c r="G67" s="19"/>
    </row>
    <row r="68" customFormat="false" ht="15" hidden="false" customHeight="false" outlineLevel="0" collapsed="false">
      <c r="B68" s="17" t="n">
        <f aca="false">IF(C68&lt;&gt;"",COUNTA($C$20:C68),"")</f>
        <v>49</v>
      </c>
      <c r="C68" s="18" t="s">
        <v>65</v>
      </c>
      <c r="D68" s="18"/>
      <c r="E68" s="18"/>
      <c r="F68" s="18"/>
      <c r="G68" s="19"/>
    </row>
    <row r="69" customFormat="false" ht="15" hidden="false" customHeight="false" outlineLevel="0" collapsed="false">
      <c r="B69" s="17" t="str">
        <f aca="false">IF(C69&lt;&gt;"",COUNTA($C$20:C69),"")</f>
        <v/>
      </c>
      <c r="C69" s="18"/>
      <c r="D69" s="18"/>
      <c r="E69" s="18"/>
      <c r="F69" s="18"/>
      <c r="G69" s="19"/>
    </row>
    <row r="70" customFormat="false" ht="15" hidden="false" customHeight="false" outlineLevel="0" collapsed="false">
      <c r="B70" s="17" t="str">
        <f aca="false">IF(C70&lt;&gt;"",COUNTA($C$20:C70),"")</f>
        <v/>
      </c>
      <c r="C70" s="18"/>
      <c r="D70" s="18"/>
      <c r="E70" s="18"/>
      <c r="F70" s="18"/>
      <c r="G70" s="19"/>
    </row>
    <row r="71" customFormat="false" ht="15" hidden="false" customHeight="false" outlineLevel="0" collapsed="false">
      <c r="B71" s="17" t="str">
        <f aca="false">IF(C71&lt;&gt;"",COUNTA($C$20:C71),"")</f>
        <v/>
      </c>
      <c r="C71" s="18"/>
      <c r="D71" s="18"/>
      <c r="E71" s="18"/>
      <c r="F71" s="18"/>
      <c r="G71" s="19"/>
    </row>
    <row r="72" customFormat="false" ht="15" hidden="false" customHeight="false" outlineLevel="0" collapsed="false">
      <c r="B72" s="17" t="str">
        <f aca="false">IF(C72&lt;&gt;"",COUNTA($C$20:C72),"")</f>
        <v/>
      </c>
      <c r="C72" s="18"/>
      <c r="D72" s="18"/>
      <c r="E72" s="18"/>
      <c r="F72" s="18"/>
      <c r="G72" s="19"/>
    </row>
    <row r="73" customFormat="false" ht="15" hidden="false" customHeight="false" outlineLevel="0" collapsed="false">
      <c r="B73" s="17" t="str">
        <f aca="false">IF(C73&lt;&gt;"",COUNTA($C$20:C73),"")</f>
        <v/>
      </c>
      <c r="C73" s="18"/>
      <c r="D73" s="18"/>
      <c r="E73" s="18"/>
      <c r="F73" s="18"/>
      <c r="G73" s="19"/>
    </row>
    <row r="74" customFormat="false" ht="15" hidden="false" customHeight="false" outlineLevel="0" collapsed="false">
      <c r="B74" s="17" t="str">
        <f aca="false">IF(C74&lt;&gt;"",COUNTA($C$20:C74),"")</f>
        <v/>
      </c>
      <c r="C74" s="18"/>
      <c r="D74" s="18"/>
      <c r="E74" s="18"/>
      <c r="F74" s="18"/>
      <c r="G74" s="19"/>
    </row>
    <row r="75" customFormat="false" ht="15" hidden="false" customHeight="false" outlineLevel="0" collapsed="false">
      <c r="B75" s="17" t="str">
        <f aca="false">IF(C75&lt;&gt;"",COUNTA($C$20:C75),"")</f>
        <v/>
      </c>
      <c r="C75" s="18"/>
      <c r="D75" s="18"/>
      <c r="E75" s="18"/>
      <c r="F75" s="18"/>
      <c r="G75" s="19"/>
    </row>
    <row r="76" customFormat="false" ht="15" hidden="false" customHeight="false" outlineLevel="0" collapsed="false">
      <c r="B76" s="17" t="str">
        <f aca="false">IF(C76&lt;&gt;"",COUNTA($C$20:C76),"")</f>
        <v/>
      </c>
      <c r="C76" s="18"/>
      <c r="D76" s="18"/>
      <c r="E76" s="18"/>
      <c r="F76" s="18"/>
      <c r="G76" s="19"/>
    </row>
    <row r="77" customFormat="false" ht="15" hidden="false" customHeight="false" outlineLevel="0" collapsed="false">
      <c r="B77" s="17" t="str">
        <f aca="false">IF(C77&lt;&gt;"",COUNTA($C$20:C77),"")</f>
        <v/>
      </c>
      <c r="C77" s="18"/>
      <c r="D77" s="18"/>
      <c r="E77" s="18"/>
      <c r="F77" s="18"/>
      <c r="G77" s="19"/>
    </row>
    <row r="78" customFormat="false" ht="15" hidden="false" customHeight="false" outlineLevel="0" collapsed="false">
      <c r="B78" s="17" t="str">
        <f aca="false">IF(C78&lt;&gt;"",COUNTA($C$20:C78),"")</f>
        <v/>
      </c>
      <c r="C78" s="18"/>
      <c r="D78" s="18"/>
      <c r="E78" s="18"/>
      <c r="F78" s="18"/>
      <c r="G78" s="19"/>
    </row>
    <row r="79" customFormat="false" ht="15" hidden="false" customHeight="false" outlineLevel="0" collapsed="false">
      <c r="B79" s="17" t="str">
        <f aca="false">IF(C79&lt;&gt;"",COUNTA($C$20:C79),"")</f>
        <v/>
      </c>
      <c r="C79" s="18"/>
      <c r="D79" s="18"/>
      <c r="E79" s="18"/>
      <c r="F79" s="18"/>
      <c r="G79" s="19"/>
    </row>
    <row r="80" customFormat="false" ht="15.75" hidden="false" customHeight="false" outlineLevel="0" collapsed="false">
      <c r="B80" s="11"/>
      <c r="C80" s="11"/>
      <c r="D80" s="11"/>
      <c r="E80" s="11"/>
      <c r="F80" s="11"/>
      <c r="G80" s="11"/>
    </row>
    <row r="81" customFormat="false" ht="15.75" hidden="false" customHeight="false" outlineLevel="0" collapsed="false">
      <c r="B81" s="11"/>
      <c r="C81" s="11"/>
      <c r="D81" s="11"/>
      <c r="E81" s="11"/>
      <c r="F81" s="11"/>
      <c r="G81" s="11"/>
    </row>
    <row r="82" customFormat="false" ht="15.75" hidden="false" customHeight="false" outlineLevel="0" collapsed="false">
      <c r="B82" s="11"/>
      <c r="C82" s="11"/>
      <c r="D82" s="11"/>
      <c r="E82" s="11"/>
      <c r="F82" s="11"/>
      <c r="G82" s="11"/>
    </row>
    <row r="83" customFormat="false" ht="15.75" hidden="false" customHeight="false" outlineLevel="0" collapsed="false">
      <c r="B83" s="11"/>
      <c r="C83" s="11"/>
      <c r="D83" s="11"/>
      <c r="E83" s="11"/>
      <c r="F83" s="11"/>
      <c r="G83" s="11"/>
    </row>
    <row r="84" customFormat="false" ht="15.75" hidden="false" customHeight="false" outlineLevel="0" collapsed="false">
      <c r="B84" s="11"/>
      <c r="C84" s="11"/>
      <c r="D84" s="11"/>
      <c r="E84" s="11"/>
      <c r="F84" s="11"/>
      <c r="G84" s="11"/>
    </row>
    <row r="85" customFormat="false" ht="15.75" hidden="false" customHeight="false" outlineLevel="0" collapsed="false">
      <c r="B85" s="11"/>
      <c r="C85" s="11"/>
      <c r="D85" s="11"/>
      <c r="E85" s="11"/>
      <c r="F85" s="11"/>
      <c r="G85" s="11"/>
    </row>
    <row r="86" customFormat="false" ht="15.75" hidden="false" customHeight="false" outlineLevel="0" collapsed="false">
      <c r="B86" s="11"/>
      <c r="C86" s="11"/>
      <c r="D86" s="11"/>
      <c r="E86" s="11"/>
      <c r="F86" s="11"/>
      <c r="G86" s="11"/>
    </row>
    <row r="87" customFormat="false" ht="15.75" hidden="false" customHeight="false" outlineLevel="0" collapsed="false">
      <c r="B87" s="11"/>
      <c r="C87" s="11"/>
      <c r="D87" s="11"/>
      <c r="E87" s="11"/>
      <c r="F87" s="11"/>
      <c r="G87" s="11"/>
    </row>
    <row r="88" customFormat="false" ht="15.75" hidden="false" customHeight="false" outlineLevel="0" collapsed="false">
      <c r="B88" s="11"/>
      <c r="C88" s="11"/>
      <c r="D88" s="11"/>
      <c r="E88" s="11"/>
      <c r="F88" s="11"/>
      <c r="G88" s="11"/>
    </row>
    <row r="89" customFormat="false" ht="15.75" hidden="false" customHeight="false" outlineLevel="0" collapsed="false">
      <c r="B89" s="11"/>
      <c r="C89" s="11"/>
      <c r="D89" s="11"/>
      <c r="E89" s="11"/>
      <c r="F89" s="11"/>
      <c r="G89" s="11"/>
    </row>
    <row r="90" customFormat="false" ht="15.75" hidden="false" customHeight="false" outlineLevel="0" collapsed="false">
      <c r="B90" s="11"/>
      <c r="C90" s="11"/>
      <c r="D90" s="11"/>
      <c r="E90" s="11"/>
      <c r="F90" s="11"/>
      <c r="G90" s="11"/>
    </row>
    <row r="91" customFormat="false" ht="15.75" hidden="false" customHeight="false" outlineLevel="0" collapsed="false">
      <c r="B91" s="11"/>
      <c r="C91" s="11"/>
      <c r="D91" s="11"/>
      <c r="E91" s="11"/>
      <c r="F91" s="11"/>
      <c r="G91" s="11"/>
    </row>
    <row r="92" customFormat="false" ht="15.75" hidden="false" customHeight="false" outlineLevel="0" collapsed="false">
      <c r="B92" s="11"/>
      <c r="C92" s="11"/>
      <c r="D92" s="11"/>
      <c r="E92" s="11"/>
      <c r="F92" s="11"/>
      <c r="G92" s="11"/>
    </row>
    <row r="93" customFormat="false" ht="15.75" hidden="false" customHeight="false" outlineLevel="0" collapsed="false">
      <c r="B93" s="11"/>
      <c r="C93" s="11"/>
      <c r="D93" s="11"/>
      <c r="E93" s="11"/>
      <c r="F93" s="11"/>
      <c r="G93" s="11"/>
    </row>
    <row r="94" customFormat="false" ht="15.75" hidden="false" customHeight="false" outlineLevel="0" collapsed="false">
      <c r="B94" s="11"/>
      <c r="C94" s="11"/>
      <c r="D94" s="11"/>
      <c r="E94" s="11"/>
      <c r="F94" s="11"/>
      <c r="G94" s="11"/>
    </row>
    <row r="95" customFormat="false" ht="15.75" hidden="false" customHeight="false" outlineLevel="0" collapsed="false">
      <c r="B95" s="11"/>
      <c r="C95" s="11"/>
      <c r="D95" s="11"/>
      <c r="E95" s="11"/>
      <c r="F95" s="11"/>
      <c r="G95" s="11"/>
    </row>
    <row r="96" customFormat="false" ht="15.75" hidden="false" customHeight="false" outlineLevel="0" collapsed="false">
      <c r="B96" s="11"/>
      <c r="C96" s="11"/>
      <c r="D96" s="11"/>
      <c r="E96" s="11"/>
      <c r="F96" s="11"/>
      <c r="G96" s="11"/>
    </row>
    <row r="97" customFormat="false" ht="15.75" hidden="false" customHeight="false" outlineLevel="0" collapsed="false">
      <c r="B97" s="11"/>
      <c r="C97" s="11"/>
      <c r="D97" s="11"/>
      <c r="E97" s="11"/>
      <c r="F97" s="11"/>
      <c r="G97" s="11"/>
    </row>
    <row r="98" customFormat="false" ht="15.75" hidden="false" customHeight="false" outlineLevel="0" collapsed="false">
      <c r="B98" s="11"/>
      <c r="C98" s="11"/>
      <c r="D98" s="11"/>
      <c r="E98" s="11"/>
      <c r="F98" s="11"/>
      <c r="G98" s="11"/>
    </row>
    <row r="99" customFormat="false" ht="15.75" hidden="false" customHeight="false" outlineLevel="0" collapsed="false">
      <c r="B99" s="11"/>
      <c r="C99" s="11"/>
      <c r="D99" s="11"/>
      <c r="E99" s="11"/>
      <c r="F99" s="11"/>
      <c r="G99" s="11"/>
    </row>
    <row r="100" customFormat="false" ht="15.75" hidden="false" customHeight="false" outlineLevel="0" collapsed="false">
      <c r="B100" s="11"/>
      <c r="C100" s="11"/>
      <c r="D100" s="11"/>
      <c r="E100" s="11"/>
      <c r="F100" s="11"/>
      <c r="G100" s="11"/>
    </row>
    <row r="101" customFormat="false" ht="15.75" hidden="false" customHeight="false" outlineLevel="0" collapsed="false">
      <c r="B101" s="11"/>
      <c r="C101" s="11"/>
      <c r="D101" s="11"/>
      <c r="E101" s="11"/>
      <c r="F101" s="11"/>
      <c r="G101" s="11"/>
    </row>
    <row r="102" customFormat="false" ht="15.75" hidden="false" customHeight="false" outlineLevel="0" collapsed="false">
      <c r="B102" s="11"/>
      <c r="C102" s="11"/>
      <c r="D102" s="11"/>
      <c r="E102" s="11"/>
      <c r="F102" s="11"/>
      <c r="G102" s="11"/>
    </row>
    <row r="103" customFormat="false" ht="15.75" hidden="false" customHeight="false" outlineLevel="0" collapsed="false">
      <c r="B103" s="11"/>
      <c r="C103" s="11"/>
      <c r="D103" s="11"/>
      <c r="E103" s="11"/>
      <c r="F103" s="11"/>
      <c r="G103" s="11"/>
    </row>
    <row r="104" customFormat="false" ht="15.75" hidden="false" customHeight="false" outlineLevel="0" collapsed="false">
      <c r="B104" s="11"/>
      <c r="C104" s="11"/>
      <c r="D104" s="11"/>
      <c r="E104" s="11"/>
      <c r="F104" s="11"/>
      <c r="G104" s="11"/>
    </row>
    <row r="105" customFormat="false" ht="15.75" hidden="false" customHeight="false" outlineLevel="0" collapsed="false">
      <c r="B105" s="11"/>
      <c r="C105" s="11"/>
      <c r="D105" s="11"/>
      <c r="E105" s="11"/>
      <c r="F105" s="11"/>
      <c r="G105" s="11"/>
    </row>
    <row r="106" customFormat="false" ht="15.75" hidden="false" customHeight="false" outlineLevel="0" collapsed="false">
      <c r="B106" s="11"/>
      <c r="C106" s="11"/>
      <c r="D106" s="11"/>
      <c r="E106" s="11"/>
      <c r="F106" s="11"/>
      <c r="G106" s="11"/>
    </row>
    <row r="107" customFormat="false" ht="15.75" hidden="false" customHeight="false" outlineLevel="0" collapsed="false">
      <c r="B107" s="11"/>
      <c r="C107" s="11"/>
      <c r="D107" s="11"/>
      <c r="E107" s="11"/>
      <c r="F107" s="11"/>
      <c r="G107" s="11"/>
    </row>
    <row r="108" customFormat="false" ht="15.75" hidden="false" customHeight="false" outlineLevel="0" collapsed="false">
      <c r="B108" s="11"/>
      <c r="C108" s="11"/>
      <c r="D108" s="11"/>
      <c r="E108" s="11"/>
      <c r="F108" s="11"/>
      <c r="G108" s="11"/>
    </row>
    <row r="109" customFormat="false" ht="15.75" hidden="false" customHeight="false" outlineLevel="0" collapsed="false">
      <c r="B109" s="11"/>
      <c r="C109" s="11"/>
      <c r="D109" s="11"/>
      <c r="E109" s="11"/>
      <c r="F109" s="11"/>
      <c r="G109" s="11"/>
    </row>
    <row r="110" customFormat="false" ht="15.75" hidden="false" customHeight="false" outlineLevel="0" collapsed="false">
      <c r="B110" s="11"/>
      <c r="C110" s="11"/>
      <c r="D110" s="11"/>
      <c r="E110" s="11"/>
      <c r="F110" s="11"/>
      <c r="G110" s="11"/>
    </row>
    <row r="111" customFormat="false" ht="15.75" hidden="false" customHeight="false" outlineLevel="0" collapsed="false">
      <c r="B111" s="11"/>
      <c r="C111" s="11"/>
      <c r="D111" s="11"/>
      <c r="E111" s="11"/>
      <c r="F111" s="11"/>
      <c r="G111" s="11"/>
    </row>
    <row r="112" customFormat="false" ht="15.75" hidden="false" customHeight="false" outlineLevel="0" collapsed="false">
      <c r="B112" s="11"/>
      <c r="C112" s="11"/>
      <c r="D112" s="11"/>
      <c r="E112" s="11"/>
      <c r="F112" s="11"/>
      <c r="G112" s="11"/>
    </row>
    <row r="113" customFormat="false" ht="15.75" hidden="false" customHeight="false" outlineLevel="0" collapsed="false">
      <c r="B113" s="11"/>
      <c r="C113" s="11"/>
      <c r="D113" s="11"/>
      <c r="E113" s="11"/>
      <c r="F113" s="11"/>
      <c r="G113" s="11"/>
    </row>
    <row r="114" customFormat="false" ht="15.75" hidden="false" customHeight="false" outlineLevel="0" collapsed="false">
      <c r="B114" s="11"/>
      <c r="C114" s="11"/>
      <c r="D114" s="11"/>
      <c r="E114" s="11"/>
      <c r="F114" s="11"/>
      <c r="G114" s="11"/>
    </row>
    <row r="115" customFormat="false" ht="15.75" hidden="false" customHeight="false" outlineLevel="0" collapsed="false">
      <c r="B115" s="11"/>
      <c r="C115" s="11"/>
      <c r="D115" s="11"/>
      <c r="E115" s="11"/>
      <c r="F115" s="11"/>
      <c r="G115" s="11"/>
    </row>
    <row r="116" customFormat="false" ht="15.75" hidden="false" customHeight="false" outlineLevel="0" collapsed="false">
      <c r="B116" s="11"/>
      <c r="C116" s="11"/>
      <c r="D116" s="11"/>
      <c r="E116" s="11"/>
      <c r="F116" s="11"/>
      <c r="G116" s="11"/>
    </row>
    <row r="117" customFormat="false" ht="15.75" hidden="false" customHeight="false" outlineLevel="0" collapsed="false">
      <c r="B117" s="11"/>
      <c r="C117" s="11"/>
      <c r="D117" s="11"/>
      <c r="E117" s="11"/>
      <c r="F117" s="11"/>
      <c r="G117" s="11"/>
    </row>
    <row r="118" customFormat="false" ht="15.75" hidden="false" customHeight="false" outlineLevel="0" collapsed="false">
      <c r="B118" s="11"/>
      <c r="C118" s="11"/>
      <c r="D118" s="11"/>
      <c r="E118" s="11"/>
      <c r="F118" s="11"/>
      <c r="G118" s="11"/>
    </row>
    <row r="119" customFormat="false" ht="15.75" hidden="false" customHeight="false" outlineLevel="0" collapsed="false">
      <c r="B119" s="11"/>
      <c r="C119" s="11"/>
      <c r="D119" s="11"/>
      <c r="E119" s="11"/>
      <c r="F119" s="11"/>
      <c r="G119" s="11"/>
    </row>
    <row r="120" customFormat="false" ht="15.75" hidden="false" customHeight="false" outlineLevel="0" collapsed="false">
      <c r="B120" s="11"/>
      <c r="C120" s="11"/>
      <c r="D120" s="11"/>
      <c r="E120" s="11"/>
      <c r="F120" s="11"/>
      <c r="G120" s="11"/>
    </row>
    <row r="121" customFormat="false" ht="15.75" hidden="false" customHeight="false" outlineLevel="0" collapsed="false">
      <c r="B121" s="11"/>
      <c r="C121" s="11"/>
      <c r="D121" s="11"/>
      <c r="E121" s="11"/>
      <c r="F121" s="11"/>
      <c r="G121" s="11"/>
    </row>
    <row r="122" customFormat="false" ht="15.75" hidden="false" customHeight="false" outlineLevel="0" collapsed="false">
      <c r="B122" s="11"/>
      <c r="C122" s="11"/>
      <c r="D122" s="11"/>
      <c r="E122" s="11"/>
      <c r="F122" s="11"/>
      <c r="G122" s="11"/>
    </row>
    <row r="123" customFormat="false" ht="15.75" hidden="false" customHeight="false" outlineLevel="0" collapsed="false">
      <c r="B123" s="11"/>
      <c r="C123" s="11"/>
      <c r="D123" s="11"/>
      <c r="E123" s="11"/>
      <c r="F123" s="11"/>
      <c r="G123" s="11"/>
    </row>
    <row r="124" customFormat="false" ht="15.75" hidden="false" customHeight="false" outlineLevel="0" collapsed="false">
      <c r="B124" s="11"/>
      <c r="C124" s="11"/>
      <c r="D124" s="11"/>
      <c r="E124" s="11"/>
      <c r="F124" s="11"/>
      <c r="G124" s="11"/>
    </row>
  </sheetData>
  <sheetProtection sheet="true" formatColumns="false" formatRows="false" sort="false"/>
  <mergeCells count="77">
    <mergeCell ref="A1:H1"/>
    <mergeCell ref="A2:H2"/>
    <mergeCell ref="A3:H3"/>
    <mergeCell ref="A5:H5"/>
    <mergeCell ref="B7:C7"/>
    <mergeCell ref="D7:E7"/>
    <mergeCell ref="B9:C9"/>
    <mergeCell ref="D9:E9"/>
    <mergeCell ref="B11:C11"/>
    <mergeCell ref="D11:F11"/>
    <mergeCell ref="B13:C13"/>
    <mergeCell ref="D13:E13"/>
    <mergeCell ref="B15:C15"/>
    <mergeCell ref="D15:E15"/>
    <mergeCell ref="A17:C17"/>
    <mergeCell ref="D17:G17"/>
    <mergeCell ref="C19:F19"/>
    <mergeCell ref="C20:F20"/>
    <mergeCell ref="C21:F21"/>
    <mergeCell ref="C22:F22"/>
    <mergeCell ref="C23:F23"/>
    <mergeCell ref="C24:F24"/>
    <mergeCell ref="C25:F25"/>
    <mergeCell ref="C26:F26"/>
    <mergeCell ref="C27:F27"/>
    <mergeCell ref="C28:F28"/>
    <mergeCell ref="C29:F29"/>
    <mergeCell ref="C30:F30"/>
    <mergeCell ref="C31:F31"/>
    <mergeCell ref="C32:F32"/>
    <mergeCell ref="C33:F33"/>
    <mergeCell ref="C34:F34"/>
    <mergeCell ref="C35:F35"/>
    <mergeCell ref="C36:F36"/>
    <mergeCell ref="C37:F37"/>
    <mergeCell ref="C38:F38"/>
    <mergeCell ref="C39:F39"/>
    <mergeCell ref="C40:F40"/>
    <mergeCell ref="C41:F41"/>
    <mergeCell ref="C42:F42"/>
    <mergeCell ref="C43:F43"/>
    <mergeCell ref="C44:F44"/>
    <mergeCell ref="C45:F45"/>
    <mergeCell ref="C46:F46"/>
    <mergeCell ref="C47:F47"/>
    <mergeCell ref="C48:F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C61:F61"/>
    <mergeCell ref="C62:F62"/>
    <mergeCell ref="C63:F63"/>
    <mergeCell ref="C64:F64"/>
    <mergeCell ref="C65:F65"/>
    <mergeCell ref="C66:F66"/>
    <mergeCell ref="C67:F67"/>
    <mergeCell ref="C68:F68"/>
    <mergeCell ref="C69:F69"/>
    <mergeCell ref="C70:F70"/>
    <mergeCell ref="C71:F71"/>
    <mergeCell ref="C72:F72"/>
    <mergeCell ref="C73:F73"/>
    <mergeCell ref="C74:F74"/>
    <mergeCell ref="C75:F75"/>
    <mergeCell ref="C76:F76"/>
    <mergeCell ref="C77:F77"/>
    <mergeCell ref="C78:F78"/>
    <mergeCell ref="C79:F79"/>
  </mergeCells>
  <conditionalFormatting sqref="B20:G79">
    <cfRule type="expression" priority="2" aboveAverage="0" equalAverage="0" bottom="0" percent="0" rank="0" text="" dxfId="0">
      <formula>ROW()=CELL("ROW")</formula>
    </cfRule>
    <cfRule type="expression" priority="3" aboveAverage="0" equalAverage="0" bottom="0" percent="0" rank="0" text="" dxfId="1">
      <formula>ROW()=CELL("ROW")</formula>
    </cfRule>
    <cfRule type="expression" priority="4" aboveAverage="0" equalAverage="0" bottom="0" percent="0" rank="0" text="" dxfId="2">
      <formula>ROW()=CELL("ROW")</formula>
    </cfRule>
    <cfRule type="expression" priority="5" aboveAverage="0" equalAverage="0" bottom="0" percent="0" rank="0" text="" dxfId="3">
      <formula>ROW()=CELL("ROW")</formula>
    </cfRule>
    <cfRule type="expression" priority="6" aboveAverage="0" equalAverage="0" bottom="0" percent="0" rank="0" text="" dxfId="4">
      <formula>ROW()=CELL("ROW")</formula>
    </cfRule>
  </conditionalFormatting>
  <conditionalFormatting sqref="C20:F20">
    <cfRule type="expression" priority="7" aboveAverage="0" equalAverage="0" bottom="0" percent="0" rank="0" text="" dxfId="5">
      <formula>ROW()=CELL("ROW")</formula>
    </cfRule>
  </conditionalFormatting>
  <dataValidations count="2">
    <dataValidation allowBlank="true" errorStyle="stop" operator="between" showDropDown="false" showErrorMessage="true" showInputMessage="true" sqref="D10:F10" type="list">
      <formula1>"1ST,2ND"</formula1>
      <formula2>0</formula2>
    </dataValidation>
    <dataValidation allowBlank="true" errorStyle="stop" operator="between" showDropDown="false" showErrorMessage="true" showInputMessage="true" sqref="D9 F9" type="list">
      <formula1>"1ST,2ND,SUMMER"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A79"/>
  <sheetViews>
    <sheetView showFormulas="false" showGridLines="false" showRowColHeaders="true" showZeros="false" rightToLeft="false" tabSelected="false" showOutlineSymbols="true" defaultGridColor="true" view="normal" topLeftCell="B7" colorId="64" zoomScale="75" zoomScaleNormal="75" zoomScalePageLayoutView="100" workbookViewId="0">
      <selection pane="topLeft" activeCell="R51" activeCellId="0" sqref="R51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66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ITE 104 – Web System and Application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67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68</v>
      </c>
      <c r="Q13" s="29"/>
      <c r="R13" s="29"/>
      <c r="S13" s="29"/>
      <c r="T13" s="29"/>
      <c r="U13" s="29"/>
      <c r="V13" s="29"/>
      <c r="W13" s="29"/>
      <c r="X13" s="31" t="s">
        <v>69</v>
      </c>
      <c r="Y13" s="31"/>
      <c r="Z13" s="31"/>
      <c r="AA13" s="32" t="s">
        <v>70</v>
      </c>
    </row>
    <row r="14" customFormat="false" ht="15" hidden="false" customHeight="false" outlineLevel="0" collapsed="false">
      <c r="A14" s="33"/>
      <c r="B14" s="34"/>
      <c r="C14" s="35" t="s">
        <v>71</v>
      </c>
      <c r="D14" s="35" t="s">
        <v>72</v>
      </c>
      <c r="E14" s="35" t="s">
        <v>73</v>
      </c>
      <c r="F14" s="35" t="s">
        <v>74</v>
      </c>
      <c r="G14" s="35" t="s">
        <v>75</v>
      </c>
      <c r="H14" s="35" t="s">
        <v>76</v>
      </c>
      <c r="I14" s="35" t="s">
        <v>77</v>
      </c>
      <c r="J14" s="35" t="s">
        <v>78</v>
      </c>
      <c r="K14" s="35" t="s">
        <v>79</v>
      </c>
      <c r="L14" s="35" t="s">
        <v>80</v>
      </c>
      <c r="M14" s="35" t="s">
        <v>81</v>
      </c>
      <c r="N14" s="35" t="s">
        <v>82</v>
      </c>
      <c r="O14" s="35" t="s">
        <v>83</v>
      </c>
      <c r="P14" s="35" t="s">
        <v>84</v>
      </c>
      <c r="Q14" s="35" t="s">
        <v>85</v>
      </c>
      <c r="R14" s="35" t="s">
        <v>86</v>
      </c>
      <c r="S14" s="35" t="s">
        <v>87</v>
      </c>
      <c r="T14" s="35" t="s">
        <v>88</v>
      </c>
      <c r="U14" s="35" t="s">
        <v>81</v>
      </c>
      <c r="V14" s="35" t="s">
        <v>82</v>
      </c>
      <c r="W14" s="35" t="s">
        <v>83</v>
      </c>
      <c r="X14" s="36" t="s">
        <v>89</v>
      </c>
      <c r="Y14" s="36" t="s">
        <v>82</v>
      </c>
      <c r="Z14" s="37" t="s">
        <v>83</v>
      </c>
      <c r="AA14" s="32"/>
    </row>
    <row r="15" customFormat="false" ht="15" hidden="false" customHeight="false" outlineLevel="0" collapsed="false">
      <c r="A15" s="38"/>
      <c r="B15" s="39" t="s">
        <v>90</v>
      </c>
      <c r="C15" s="40" t="n">
        <v>10</v>
      </c>
      <c r="D15" s="40"/>
      <c r="E15" s="40"/>
      <c r="F15" s="40"/>
      <c r="G15" s="40"/>
      <c r="H15" s="40"/>
      <c r="I15" s="40"/>
      <c r="J15" s="40"/>
      <c r="K15" s="40"/>
      <c r="L15" s="40"/>
      <c r="M15" s="41" t="n">
        <f aca="false">SUMIF(C15:L15,"&lt;&gt;",C15:L15)</f>
        <v>10</v>
      </c>
      <c r="N15" s="41" t="n">
        <f aca="false">(M15/M$15)*50+50</f>
        <v>100</v>
      </c>
      <c r="O15" s="42" t="n">
        <v>0.3</v>
      </c>
      <c r="P15" s="40" t="n">
        <v>100</v>
      </c>
      <c r="Q15" s="40" t="n">
        <v>50</v>
      </c>
      <c r="R15" s="40"/>
      <c r="S15" s="40"/>
      <c r="T15" s="40"/>
      <c r="U15" s="41" t="n">
        <f aca="false">SUMIF(P15:T15,"&lt;&gt;",P15:T15)</f>
        <v>150</v>
      </c>
      <c r="V15" s="41" t="n">
        <f aca="false">(U15/U$15)*50+50</f>
        <v>100</v>
      </c>
      <c r="W15" s="42" t="n">
        <v>0.2</v>
      </c>
      <c r="X15" s="40" t="n">
        <v>100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EGCA, JOHN CRIS GAYARES</v>
      </c>
      <c r="C16" s="45" t="n">
        <v>5</v>
      </c>
      <c r="D16" s="45"/>
      <c r="E16" s="45"/>
      <c r="F16" s="45"/>
      <c r="G16" s="45"/>
      <c r="H16" s="45"/>
      <c r="I16" s="45"/>
      <c r="J16" s="45"/>
      <c r="K16" s="45"/>
      <c r="L16" s="45"/>
      <c r="M16" s="46" t="n">
        <f aca="false">SUMIF(C16:L16,"&lt;&gt;",C16:L16)</f>
        <v>5</v>
      </c>
      <c r="N16" s="46" t="n">
        <f aca="false">(M16/M$15)*50+50</f>
        <v>75</v>
      </c>
      <c r="O16" s="46" t="n">
        <f aca="false">N16*0.3</f>
        <v>22.5</v>
      </c>
      <c r="P16" s="45"/>
      <c r="Q16" s="45"/>
      <c r="R16" s="45"/>
      <c r="S16" s="45"/>
      <c r="T16" s="45"/>
      <c r="U16" s="46" t="n">
        <f aca="false">SUMIF(P16:T16,"&lt;&gt;",P16:T16)</f>
        <v>0</v>
      </c>
      <c r="V16" s="46" t="n">
        <f aca="false">(U16/U$15)*50+50</f>
        <v>50</v>
      </c>
      <c r="W16" s="46" t="n">
        <f aca="false">V16*0.2</f>
        <v>10</v>
      </c>
      <c r="X16" s="45" t="n">
        <v>35</v>
      </c>
      <c r="Y16" s="46" t="n">
        <f aca="false">(X16/X$15)*50+50</f>
        <v>67.5</v>
      </c>
      <c r="Z16" s="46" t="n">
        <f aca="false">Y16*0.5</f>
        <v>33.75</v>
      </c>
      <c r="AA16" s="47" t="n">
        <f aca="false">SUM(Z16,W16,O16)</f>
        <v>66.25</v>
      </c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ESCABARTE, MARK GIL PEDRAJAS</v>
      </c>
      <c r="C17" s="45" t="n">
        <v>6</v>
      </c>
      <c r="D17" s="45"/>
      <c r="E17" s="45"/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6</v>
      </c>
      <c r="N17" s="46" t="n">
        <f aca="false">(M17/M$15)*50+50</f>
        <v>80</v>
      </c>
      <c r="O17" s="46" t="n">
        <f aca="false">N17*0.3</f>
        <v>24</v>
      </c>
      <c r="P17" s="45"/>
      <c r="Q17" s="45"/>
      <c r="R17" s="45"/>
      <c r="S17" s="45"/>
      <c r="T17" s="45"/>
      <c r="U17" s="46" t="n">
        <f aca="false">SUMIF(P17:T17,"&lt;&gt;",P17:T17)</f>
        <v>0</v>
      </c>
      <c r="V17" s="46" t="n">
        <f aca="false">(U17/U$15)*50+50</f>
        <v>50</v>
      </c>
      <c r="W17" s="46" t="n">
        <f aca="false">V17*0.2</f>
        <v>10</v>
      </c>
      <c r="X17" s="45" t="n">
        <v>38</v>
      </c>
      <c r="Y17" s="46" t="n">
        <f aca="false">(X17/X$15)*50+50</f>
        <v>69</v>
      </c>
      <c r="Z17" s="46" t="n">
        <f aca="false">Y17*0.5</f>
        <v>34.5</v>
      </c>
      <c r="AA17" s="47" t="n">
        <f aca="false">SUM(Z17,W17,O17)</f>
        <v>68.5</v>
      </c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ESCALANTE, BRYAN JAY SUBARDIAGA</v>
      </c>
      <c r="C18" s="45" t="n">
        <v>5</v>
      </c>
      <c r="D18" s="45"/>
      <c r="E18" s="45"/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5</v>
      </c>
      <c r="N18" s="46" t="n">
        <f aca="false">(M18/M$15)*50+50</f>
        <v>75</v>
      </c>
      <c r="O18" s="46" t="n">
        <f aca="false">N18*0.3</f>
        <v>22.5</v>
      </c>
      <c r="P18" s="45"/>
      <c r="Q18" s="45"/>
      <c r="R18" s="45"/>
      <c r="S18" s="45"/>
      <c r="T18" s="45"/>
      <c r="U18" s="46" t="n">
        <f aca="false">SUMIF(P18:T18,"&lt;&gt;",P18:T18)</f>
        <v>0</v>
      </c>
      <c r="V18" s="46" t="n">
        <f aca="false">(U18/U$15)*50+50</f>
        <v>50</v>
      </c>
      <c r="W18" s="46" t="n">
        <f aca="false">V18*0.2</f>
        <v>10</v>
      </c>
      <c r="X18" s="45" t="n">
        <v>36</v>
      </c>
      <c r="Y18" s="46" t="n">
        <f aca="false">(X18/X$15)*50+50</f>
        <v>68</v>
      </c>
      <c r="Z18" s="46" t="n">
        <f aca="false">Y18*0.5</f>
        <v>34</v>
      </c>
      <c r="AA18" s="47" t="n">
        <f aca="false">SUM(Z18,W18,O18)</f>
        <v>66.5</v>
      </c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ESTOYA, JILWIN JOSEPH LHIAN  PEÑFLORIDA</v>
      </c>
      <c r="C19" s="45" t="n">
        <v>6</v>
      </c>
      <c r="D19" s="45"/>
      <c r="E19" s="45"/>
      <c r="F19" s="45"/>
      <c r="G19" s="45"/>
      <c r="H19" s="45"/>
      <c r="I19" s="45"/>
      <c r="J19" s="45"/>
      <c r="K19" s="45"/>
      <c r="L19" s="45"/>
      <c r="M19" s="46" t="n">
        <f aca="false">SUMIF(C19:L19,"&lt;&gt;",C19:L19)</f>
        <v>6</v>
      </c>
      <c r="N19" s="46" t="n">
        <f aca="false">(M19/M$15)*50+50</f>
        <v>80</v>
      </c>
      <c r="O19" s="46" t="n">
        <f aca="false">N19*0.3</f>
        <v>24</v>
      </c>
      <c r="P19" s="45"/>
      <c r="Q19" s="45"/>
      <c r="R19" s="45"/>
      <c r="S19" s="45"/>
      <c r="T19" s="45"/>
      <c r="U19" s="46" t="n">
        <f aca="false">SUMIF(P19:T19,"&lt;&gt;",P19:T19)</f>
        <v>0</v>
      </c>
      <c r="V19" s="46" t="n">
        <f aca="false">(U19/U$15)*50+50</f>
        <v>50</v>
      </c>
      <c r="W19" s="46" t="n">
        <f aca="false">V19*0.2</f>
        <v>10</v>
      </c>
      <c r="X19" s="45" t="n">
        <v>42</v>
      </c>
      <c r="Y19" s="46" t="n">
        <f aca="false">(X19/X$15)*50+50</f>
        <v>71</v>
      </c>
      <c r="Z19" s="46" t="n">
        <f aca="false">Y19*0.5</f>
        <v>35.5</v>
      </c>
      <c r="AA19" s="47" t="n">
        <f aca="false">SUM(Z19,W19,O19)</f>
        <v>69.5</v>
      </c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FAMOSO, ALTHEA ENRIQUEZ</v>
      </c>
      <c r="C20" s="45" t="n">
        <v>9</v>
      </c>
      <c r="D20" s="45"/>
      <c r="E20" s="45"/>
      <c r="F20" s="45"/>
      <c r="G20" s="45"/>
      <c r="H20" s="45"/>
      <c r="I20" s="45"/>
      <c r="J20" s="45"/>
      <c r="K20" s="45"/>
      <c r="L20" s="45"/>
      <c r="M20" s="46" t="n">
        <f aca="false">SUMIF(C20:L20,"&lt;&gt;",C20:L20)</f>
        <v>9</v>
      </c>
      <c r="N20" s="46" t="n">
        <f aca="false">(M20/M$15)*50+50</f>
        <v>95</v>
      </c>
      <c r="O20" s="46" t="n">
        <f aca="false">N20*0.3</f>
        <v>28.5</v>
      </c>
      <c r="P20" s="45"/>
      <c r="Q20" s="45" t="n">
        <v>50</v>
      </c>
      <c r="R20" s="45"/>
      <c r="S20" s="45"/>
      <c r="T20" s="45"/>
      <c r="U20" s="46" t="n">
        <f aca="false">SUMIF(P20:T20,"&lt;&gt;",P20:T20)</f>
        <v>50</v>
      </c>
      <c r="V20" s="46" t="n">
        <f aca="false">(U20/U$15)*50+50</f>
        <v>66.6666666666667</v>
      </c>
      <c r="W20" s="46" t="n">
        <f aca="false">V20*0.2</f>
        <v>13.3333333333333</v>
      </c>
      <c r="X20" s="45" t="n">
        <v>42</v>
      </c>
      <c r="Y20" s="46" t="n">
        <f aca="false">(X20/X$15)*50+50</f>
        <v>71</v>
      </c>
      <c r="Z20" s="46" t="n">
        <f aca="false">Y20*0.5</f>
        <v>35.5</v>
      </c>
      <c r="AA20" s="47" t="n">
        <f aca="false">SUM(Z20,W20,O20)</f>
        <v>77.3333333333333</v>
      </c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FAMOSO, CARL TIA</v>
      </c>
      <c r="C21" s="45" t="n">
        <v>4</v>
      </c>
      <c r="D21" s="45"/>
      <c r="E21" s="45"/>
      <c r="F21" s="45"/>
      <c r="G21" s="45"/>
      <c r="H21" s="45"/>
      <c r="I21" s="45"/>
      <c r="J21" s="45"/>
      <c r="K21" s="45"/>
      <c r="L21" s="45"/>
      <c r="M21" s="46" t="n">
        <f aca="false">SUMIF(C21:L21,"&lt;&gt;",C21:L21)</f>
        <v>4</v>
      </c>
      <c r="N21" s="46" t="n">
        <f aca="false">(M21/M$15)*50+50</f>
        <v>70</v>
      </c>
      <c r="O21" s="46" t="n">
        <f aca="false">N21*0.3</f>
        <v>21</v>
      </c>
      <c r="P21" s="45" t="n">
        <v>100</v>
      </c>
      <c r="Q21" s="45" t="n">
        <v>50</v>
      </c>
      <c r="R21" s="45"/>
      <c r="S21" s="45"/>
      <c r="T21" s="45"/>
      <c r="U21" s="46" t="n">
        <f aca="false">SUMIF(P21:T21,"&lt;&gt;",P21:T21)</f>
        <v>150</v>
      </c>
      <c r="V21" s="46" t="n">
        <f aca="false">(U21/U$15)*50+50</f>
        <v>100</v>
      </c>
      <c r="W21" s="46" t="n">
        <f aca="false">V21*0.2</f>
        <v>20</v>
      </c>
      <c r="X21" s="45" t="n">
        <v>38</v>
      </c>
      <c r="Y21" s="46" t="n">
        <f aca="false">(X21/X$15)*50+50</f>
        <v>69</v>
      </c>
      <c r="Z21" s="46" t="n">
        <f aca="false">Y21*0.5</f>
        <v>34.5</v>
      </c>
      <c r="AA21" s="47" t="n">
        <f aca="false">SUM(Z21,W21,O21)</f>
        <v>75.5</v>
      </c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FAT, NERISA SALGADO</v>
      </c>
      <c r="C22" s="45" t="n">
        <v>5</v>
      </c>
      <c r="D22" s="45"/>
      <c r="E22" s="45"/>
      <c r="F22" s="45"/>
      <c r="G22" s="45"/>
      <c r="H22" s="45"/>
      <c r="I22" s="45"/>
      <c r="J22" s="45"/>
      <c r="K22" s="45"/>
      <c r="L22" s="45"/>
      <c r="M22" s="46" t="n">
        <f aca="false">SUMIF(C22:L22,"&lt;&gt;",C22:L22)</f>
        <v>5</v>
      </c>
      <c r="N22" s="46" t="n">
        <f aca="false">(M22/M$15)*50+50</f>
        <v>75</v>
      </c>
      <c r="O22" s="46" t="n">
        <f aca="false">N22*0.3</f>
        <v>22.5</v>
      </c>
      <c r="P22" s="45"/>
      <c r="Q22" s="45" t="n">
        <v>50</v>
      </c>
      <c r="R22" s="45"/>
      <c r="S22" s="45"/>
      <c r="T22" s="45"/>
      <c r="U22" s="46" t="n">
        <f aca="false">SUMIF(P22:T22,"&lt;&gt;",P22:T22)</f>
        <v>50</v>
      </c>
      <c r="V22" s="46" t="n">
        <f aca="false">(U22/U$15)*50+50</f>
        <v>66.6666666666667</v>
      </c>
      <c r="W22" s="46" t="n">
        <f aca="false">V22*0.2</f>
        <v>13.3333333333333</v>
      </c>
      <c r="X22" s="45" t="n">
        <v>38</v>
      </c>
      <c r="Y22" s="46" t="n">
        <f aca="false">(X22/X$15)*50+50</f>
        <v>69</v>
      </c>
      <c r="Z22" s="46" t="n">
        <f aca="false">Y22*0.5</f>
        <v>34.5</v>
      </c>
      <c r="AA22" s="47" t="n">
        <f aca="false">SUM(Z22,W22,O22)</f>
        <v>70.3333333333333</v>
      </c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FERNANDEZ, CHRISTOPHER LIMOTAO</v>
      </c>
      <c r="C23" s="45" t="n">
        <v>6</v>
      </c>
      <c r="D23" s="45"/>
      <c r="E23" s="45"/>
      <c r="F23" s="45"/>
      <c r="G23" s="45"/>
      <c r="H23" s="45"/>
      <c r="I23" s="45"/>
      <c r="J23" s="45"/>
      <c r="K23" s="45"/>
      <c r="L23" s="45"/>
      <c r="M23" s="46" t="n">
        <f aca="false">SUMIF(C23:L23,"&lt;&gt;",C23:L23)</f>
        <v>6</v>
      </c>
      <c r="N23" s="46" t="n">
        <f aca="false">(M23/M$15)*50+50</f>
        <v>80</v>
      </c>
      <c r="O23" s="46" t="n">
        <f aca="false">N23*0.3</f>
        <v>24</v>
      </c>
      <c r="P23" s="45"/>
      <c r="Q23" s="45"/>
      <c r="R23" s="45"/>
      <c r="S23" s="45"/>
      <c r="T23" s="45"/>
      <c r="U23" s="46" t="n">
        <f aca="false">SUMIF(P23:T23,"&lt;&gt;",P23:T23)</f>
        <v>0</v>
      </c>
      <c r="V23" s="46" t="n">
        <f aca="false">(U23/U$15)*50+50</f>
        <v>50</v>
      </c>
      <c r="W23" s="46" t="n">
        <f aca="false">V23*0.2</f>
        <v>10</v>
      </c>
      <c r="X23" s="45" t="n">
        <v>40</v>
      </c>
      <c r="Y23" s="46" t="n">
        <f aca="false">(X23/X$15)*50+50</f>
        <v>70</v>
      </c>
      <c r="Z23" s="46" t="n">
        <f aca="false">Y23*0.5</f>
        <v>35</v>
      </c>
      <c r="AA23" s="47" t="n">
        <f aca="false">SUM(Z23,W23,O23)</f>
        <v>69</v>
      </c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FERNANDEZ, PENNY LANE TALANQUINES</v>
      </c>
      <c r="C24" s="45" t="n">
        <v>5</v>
      </c>
      <c r="D24" s="45"/>
      <c r="E24" s="45"/>
      <c r="F24" s="45"/>
      <c r="G24" s="45"/>
      <c r="H24" s="45"/>
      <c r="I24" s="45"/>
      <c r="J24" s="45"/>
      <c r="K24" s="45"/>
      <c r="L24" s="45"/>
      <c r="M24" s="46" t="n">
        <f aca="false">SUMIF(C24:L24,"&lt;&gt;",C24:L24)</f>
        <v>5</v>
      </c>
      <c r="N24" s="46" t="n">
        <f aca="false">(M24/M$15)*50+50</f>
        <v>75</v>
      </c>
      <c r="O24" s="46" t="n">
        <f aca="false">N24*0.3</f>
        <v>22.5</v>
      </c>
      <c r="P24" s="45"/>
      <c r="Q24" s="45" t="n">
        <v>50</v>
      </c>
      <c r="R24" s="45"/>
      <c r="S24" s="45"/>
      <c r="T24" s="45"/>
      <c r="U24" s="46" t="n">
        <f aca="false">SUMIF(P24:T24,"&lt;&gt;",P24:T24)</f>
        <v>50</v>
      </c>
      <c r="V24" s="46" t="n">
        <f aca="false">(U24/U$15)*50+50</f>
        <v>66.6666666666667</v>
      </c>
      <c r="W24" s="46" t="n">
        <f aca="false">V24*0.2</f>
        <v>13.3333333333333</v>
      </c>
      <c r="X24" s="45" t="n">
        <v>46</v>
      </c>
      <c r="Y24" s="46" t="n">
        <f aca="false">(X24/X$15)*50+50</f>
        <v>73</v>
      </c>
      <c r="Z24" s="46" t="n">
        <f aca="false">Y24*0.5</f>
        <v>36.5</v>
      </c>
      <c r="AA24" s="47" t="n">
        <f aca="false">SUM(Z24,W24,O24)</f>
        <v>72.3333333333333</v>
      </c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FERNANDEZ, WENDELYN VALDEVIEZO</v>
      </c>
      <c r="C25" s="45" t="n">
        <v>6</v>
      </c>
      <c r="D25" s="45"/>
      <c r="E25" s="45"/>
      <c r="F25" s="45"/>
      <c r="G25" s="45"/>
      <c r="H25" s="45"/>
      <c r="I25" s="45"/>
      <c r="J25" s="45"/>
      <c r="K25" s="45"/>
      <c r="L25" s="45"/>
      <c r="M25" s="46" t="n">
        <f aca="false">SUMIF(C25:L25,"&lt;&gt;",C25:L25)</f>
        <v>6</v>
      </c>
      <c r="N25" s="46" t="n">
        <f aca="false">(M25/M$15)*50+50</f>
        <v>80</v>
      </c>
      <c r="O25" s="46" t="n">
        <f aca="false">N25*0.3</f>
        <v>24</v>
      </c>
      <c r="P25" s="45"/>
      <c r="Q25" s="45"/>
      <c r="R25" s="45"/>
      <c r="S25" s="45"/>
      <c r="T25" s="45"/>
      <c r="U25" s="46" t="n">
        <f aca="false">SUMIF(P25:T25,"&lt;&gt;",P25:T25)</f>
        <v>0</v>
      </c>
      <c r="V25" s="46" t="n">
        <f aca="false">(U25/U$15)*50+50</f>
        <v>50</v>
      </c>
      <c r="W25" s="46" t="n">
        <f aca="false">V25*0.2</f>
        <v>10</v>
      </c>
      <c r="X25" s="45" t="n">
        <v>43</v>
      </c>
      <c r="Y25" s="46" t="n">
        <f aca="false">(X25/X$15)*50+50</f>
        <v>71.5</v>
      </c>
      <c r="Z25" s="46" t="n">
        <f aca="false">Y25*0.5</f>
        <v>35.75</v>
      </c>
      <c r="AA25" s="47" t="n">
        <f aca="false">SUM(Z25,W25,O25)</f>
        <v>69.75</v>
      </c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FLORES, YL JOHN MAHINAY</v>
      </c>
      <c r="C26" s="45" t="n">
        <v>7</v>
      </c>
      <c r="D26" s="45"/>
      <c r="E26" s="45"/>
      <c r="F26" s="45"/>
      <c r="G26" s="45"/>
      <c r="H26" s="45"/>
      <c r="I26" s="45"/>
      <c r="J26" s="45"/>
      <c r="K26" s="45"/>
      <c r="L26" s="45"/>
      <c r="M26" s="46" t="n">
        <f aca="false">SUMIF(C26:L26,"&lt;&gt;",C26:L26)</f>
        <v>7</v>
      </c>
      <c r="N26" s="46" t="n">
        <f aca="false">(M26/M$15)*50+50</f>
        <v>85</v>
      </c>
      <c r="O26" s="46" t="n">
        <f aca="false">N26*0.3</f>
        <v>25.5</v>
      </c>
      <c r="P26" s="45" t="n">
        <v>100</v>
      </c>
      <c r="Q26" s="45" t="n">
        <v>50</v>
      </c>
      <c r="R26" s="45"/>
      <c r="S26" s="45"/>
      <c r="T26" s="45"/>
      <c r="U26" s="46" t="n">
        <f aca="false">SUMIF(P26:T26,"&lt;&gt;",P26:T26)</f>
        <v>150</v>
      </c>
      <c r="V26" s="46" t="n">
        <f aca="false">(U26/U$15)*50+50</f>
        <v>100</v>
      </c>
      <c r="W26" s="46" t="n">
        <f aca="false">V26*0.2</f>
        <v>20</v>
      </c>
      <c r="X26" s="45" t="n">
        <v>48</v>
      </c>
      <c r="Y26" s="46" t="n">
        <f aca="false">(X26/X$15)*50+50</f>
        <v>74</v>
      </c>
      <c r="Z26" s="46" t="n">
        <f aca="false">Y26*0.5</f>
        <v>37</v>
      </c>
      <c r="AA26" s="47" t="n">
        <f aca="false">SUM(Z26,W26,O26)</f>
        <v>82.5</v>
      </c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GAJO, JAYVEN KIM AMPARO</v>
      </c>
      <c r="C27" s="45" t="n">
        <v>7</v>
      </c>
      <c r="D27" s="45"/>
      <c r="E27" s="45"/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7</v>
      </c>
      <c r="N27" s="46" t="n">
        <f aca="false">(M27/M$15)*50+50</f>
        <v>85</v>
      </c>
      <c r="O27" s="46" t="n">
        <f aca="false">N27*0.3</f>
        <v>25.5</v>
      </c>
      <c r="P27" s="45"/>
      <c r="Q27" s="45" t="n">
        <v>50</v>
      </c>
      <c r="R27" s="45"/>
      <c r="S27" s="45"/>
      <c r="T27" s="45"/>
      <c r="U27" s="46" t="n">
        <f aca="false">SUMIF(P27:T27,"&lt;&gt;",P27:T27)</f>
        <v>50</v>
      </c>
      <c r="V27" s="46" t="n">
        <f aca="false">(U27/U$15)*50+50</f>
        <v>66.6666666666667</v>
      </c>
      <c r="W27" s="46" t="n">
        <f aca="false">V27*0.2</f>
        <v>13.3333333333333</v>
      </c>
      <c r="X27" s="45" t="n">
        <v>44</v>
      </c>
      <c r="Y27" s="46" t="n">
        <f aca="false">(X27/X$15)*50+50</f>
        <v>72</v>
      </c>
      <c r="Z27" s="46" t="n">
        <f aca="false">Y27*0.5</f>
        <v>36</v>
      </c>
      <c r="AA27" s="47" t="n">
        <f aca="false">SUM(Z27,W27,O27)</f>
        <v>74.8333333333333</v>
      </c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GARANZO, LANCE GABRIEL CORDOVA</v>
      </c>
      <c r="C28" s="45" t="n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n">
        <f aca="false">SUMIF(C28:L28,"&lt;&gt;",C28:L28)</f>
        <v>6</v>
      </c>
      <c r="N28" s="46" t="n">
        <f aca="false">(M28/M$15)*50+50</f>
        <v>80</v>
      </c>
      <c r="O28" s="46" t="n">
        <f aca="false">N28*0.3</f>
        <v>24</v>
      </c>
      <c r="P28" s="45"/>
      <c r="Q28" s="45"/>
      <c r="R28" s="45"/>
      <c r="S28" s="45"/>
      <c r="T28" s="45"/>
      <c r="U28" s="46" t="n">
        <f aca="false">SUMIF(P28:T28,"&lt;&gt;",P28:T28)</f>
        <v>0</v>
      </c>
      <c r="V28" s="46" t="n">
        <f aca="false">(U28/U$15)*50+50</f>
        <v>50</v>
      </c>
      <c r="W28" s="46" t="n">
        <f aca="false">V28*0.2</f>
        <v>10</v>
      </c>
      <c r="X28" s="45" t="n">
        <v>35</v>
      </c>
      <c r="Y28" s="46" t="n">
        <f aca="false">(X28/X$15)*50+50</f>
        <v>67.5</v>
      </c>
      <c r="Z28" s="46" t="n">
        <f aca="false">Y28*0.5</f>
        <v>33.75</v>
      </c>
      <c r="AA28" s="47" t="n">
        <f aca="false">SUM(Z28,W28,O28)</f>
        <v>67.75</v>
      </c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GARGANTA, RICHARD ACABO</v>
      </c>
      <c r="C29" s="45" t="n">
        <v>6</v>
      </c>
      <c r="D29" s="45"/>
      <c r="E29" s="45"/>
      <c r="F29" s="45"/>
      <c r="G29" s="45"/>
      <c r="H29" s="45"/>
      <c r="I29" s="45"/>
      <c r="J29" s="45"/>
      <c r="K29" s="45"/>
      <c r="L29" s="45"/>
      <c r="M29" s="46" t="n">
        <f aca="false">SUMIF(C29:L29,"&lt;&gt;",C29:L29)</f>
        <v>6</v>
      </c>
      <c r="N29" s="46" t="n">
        <f aca="false">(M29/M$15)*50+50</f>
        <v>80</v>
      </c>
      <c r="O29" s="46" t="n">
        <f aca="false">N29*0.3</f>
        <v>24</v>
      </c>
      <c r="P29" s="45"/>
      <c r="Q29" s="45" t="n">
        <v>50</v>
      </c>
      <c r="R29" s="45"/>
      <c r="S29" s="45"/>
      <c r="T29" s="45"/>
      <c r="U29" s="46" t="n">
        <f aca="false">SUMIF(P29:T29,"&lt;&gt;",P29:T29)</f>
        <v>50</v>
      </c>
      <c r="V29" s="46" t="n">
        <f aca="false">(U29/U$15)*50+50</f>
        <v>66.6666666666667</v>
      </c>
      <c r="W29" s="46" t="n">
        <f aca="false">V29*0.2</f>
        <v>13.3333333333333</v>
      </c>
      <c r="X29" s="45"/>
      <c r="Y29" s="46" t="n">
        <f aca="false">(X29/X$15)*50+50</f>
        <v>50</v>
      </c>
      <c r="Z29" s="46" t="n">
        <f aca="false">Y29*0.5</f>
        <v>25</v>
      </c>
      <c r="AA29" s="47" t="n">
        <f aca="false">SUM(Z29,W29,O29)</f>
        <v>62.3333333333333</v>
      </c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GARIANDO, JUSTIN KIM CORREJADO</v>
      </c>
      <c r="C30" s="45" t="n">
        <v>7</v>
      </c>
      <c r="D30" s="45"/>
      <c r="E30" s="45"/>
      <c r="F30" s="45"/>
      <c r="G30" s="45"/>
      <c r="H30" s="45"/>
      <c r="I30" s="45"/>
      <c r="J30" s="45"/>
      <c r="K30" s="45"/>
      <c r="L30" s="45"/>
      <c r="M30" s="46" t="n">
        <f aca="false">SUMIF(C30:L30,"&lt;&gt;",C30:L30)</f>
        <v>7</v>
      </c>
      <c r="N30" s="46" t="n">
        <f aca="false">(M30/M$15)*50+50</f>
        <v>85</v>
      </c>
      <c r="O30" s="46" t="n">
        <f aca="false">N30*0.3</f>
        <v>25.5</v>
      </c>
      <c r="P30" s="45"/>
      <c r="Q30" s="45" t="n">
        <v>50</v>
      </c>
      <c r="R30" s="45"/>
      <c r="S30" s="45"/>
      <c r="T30" s="45"/>
      <c r="U30" s="46" t="n">
        <f aca="false">SUMIF(P30:T30,"&lt;&gt;",P30:T30)</f>
        <v>50</v>
      </c>
      <c r="V30" s="46" t="n">
        <f aca="false">(U30/U$15)*50+50</f>
        <v>66.6666666666667</v>
      </c>
      <c r="W30" s="46" t="n">
        <f aca="false">V30*0.2</f>
        <v>13.3333333333333</v>
      </c>
      <c r="X30" s="45" t="n">
        <v>34</v>
      </c>
      <c r="Y30" s="46" t="n">
        <f aca="false">(X30/X$15)*50+50</f>
        <v>67</v>
      </c>
      <c r="Z30" s="46" t="n">
        <f aca="false">Y30*0.5</f>
        <v>33.5</v>
      </c>
      <c r="AA30" s="47" t="n">
        <f aca="false">SUM(Z30,W30,O30)</f>
        <v>72.3333333333333</v>
      </c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GARSOLAO, IVY MARIE ALICAYA</v>
      </c>
      <c r="C31" s="45" t="n">
        <v>5</v>
      </c>
      <c r="D31" s="45"/>
      <c r="E31" s="45"/>
      <c r="F31" s="45"/>
      <c r="G31" s="45"/>
      <c r="H31" s="45"/>
      <c r="I31" s="45"/>
      <c r="J31" s="45"/>
      <c r="K31" s="45"/>
      <c r="L31" s="45"/>
      <c r="M31" s="46" t="n">
        <f aca="false">SUMIF(C31:L31,"&lt;&gt;",C31:L31)</f>
        <v>5</v>
      </c>
      <c r="N31" s="46" t="n">
        <f aca="false">(M31/M$15)*50+50</f>
        <v>75</v>
      </c>
      <c r="O31" s="46" t="n">
        <f aca="false">N31*0.3</f>
        <v>22.5</v>
      </c>
      <c r="P31" s="45"/>
      <c r="Q31" s="45" t="n">
        <v>50</v>
      </c>
      <c r="R31" s="45"/>
      <c r="S31" s="45"/>
      <c r="T31" s="45"/>
      <c r="U31" s="46" t="n">
        <f aca="false">SUMIF(P31:T31,"&lt;&gt;",P31:T31)</f>
        <v>50</v>
      </c>
      <c r="V31" s="46" t="n">
        <f aca="false">(U31/U$15)*50+50</f>
        <v>66.6666666666667</v>
      </c>
      <c r="W31" s="46" t="n">
        <f aca="false">V31*0.2</f>
        <v>13.3333333333333</v>
      </c>
      <c r="X31" s="45" t="n">
        <v>37</v>
      </c>
      <c r="Y31" s="46" t="n">
        <f aca="false">(X31/X$15)*50+50</f>
        <v>68.5</v>
      </c>
      <c r="Z31" s="46" t="n">
        <f aca="false">Y31*0.5</f>
        <v>34.25</v>
      </c>
      <c r="AA31" s="47" t="n">
        <f aca="false">SUM(Z31,W31,O31)</f>
        <v>70.0833333333333</v>
      </c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GASATAYA, RICO TALABAN</v>
      </c>
      <c r="C32" s="45" t="n">
        <v>6</v>
      </c>
      <c r="D32" s="45"/>
      <c r="E32" s="45"/>
      <c r="F32" s="45"/>
      <c r="G32" s="45"/>
      <c r="H32" s="45"/>
      <c r="I32" s="45"/>
      <c r="J32" s="45"/>
      <c r="K32" s="45"/>
      <c r="L32" s="45"/>
      <c r="M32" s="46" t="n">
        <f aca="false">SUMIF(C32:L32,"&lt;&gt;",C32:L32)</f>
        <v>6</v>
      </c>
      <c r="N32" s="46" t="n">
        <f aca="false">(M32/M$15)*50+50</f>
        <v>80</v>
      </c>
      <c r="O32" s="46" t="n">
        <f aca="false">N32*0.3</f>
        <v>24</v>
      </c>
      <c r="P32" s="45"/>
      <c r="Q32" s="45" t="n">
        <v>50</v>
      </c>
      <c r="R32" s="45"/>
      <c r="S32" s="45"/>
      <c r="T32" s="45"/>
      <c r="U32" s="46" t="n">
        <f aca="false">SUMIF(P32:T32,"&lt;&gt;",P32:T32)</f>
        <v>50</v>
      </c>
      <c r="V32" s="46" t="n">
        <f aca="false">(U32/U$15)*50+50</f>
        <v>66.6666666666667</v>
      </c>
      <c r="W32" s="46" t="n">
        <f aca="false">V32*0.2</f>
        <v>13.3333333333333</v>
      </c>
      <c r="X32" s="45" t="n">
        <v>42</v>
      </c>
      <c r="Y32" s="46" t="n">
        <f aca="false">(X32/X$15)*50+50</f>
        <v>71</v>
      </c>
      <c r="Z32" s="46" t="n">
        <f aca="false">Y32*0.5</f>
        <v>35.5</v>
      </c>
      <c r="AA32" s="47" t="n">
        <f aca="false">SUM(Z32,W32,O32)</f>
        <v>72.8333333333333</v>
      </c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GELBA, ABEGAIL VENUS</v>
      </c>
      <c r="C33" s="45" t="n">
        <v>7</v>
      </c>
      <c r="D33" s="45"/>
      <c r="E33" s="45"/>
      <c r="F33" s="45"/>
      <c r="G33" s="45"/>
      <c r="H33" s="45"/>
      <c r="I33" s="45"/>
      <c r="J33" s="45"/>
      <c r="K33" s="45"/>
      <c r="L33" s="45"/>
      <c r="M33" s="46" t="n">
        <f aca="false">SUMIF(C33:L33,"&lt;&gt;",C33:L33)</f>
        <v>7</v>
      </c>
      <c r="N33" s="46" t="n">
        <f aca="false">(M33/M$15)*50+50</f>
        <v>85</v>
      </c>
      <c r="O33" s="46" t="n">
        <f aca="false">N33*0.3</f>
        <v>25.5</v>
      </c>
      <c r="P33" s="45"/>
      <c r="Q33" s="45" t="n">
        <v>50</v>
      </c>
      <c r="R33" s="45"/>
      <c r="S33" s="45"/>
      <c r="T33" s="45"/>
      <c r="U33" s="46" t="n">
        <f aca="false">SUMIF(P33:T33,"&lt;&gt;",P33:T33)</f>
        <v>50</v>
      </c>
      <c r="V33" s="46" t="n">
        <f aca="false">(U33/U$15)*50+50</f>
        <v>66.6666666666667</v>
      </c>
      <c r="W33" s="46" t="n">
        <f aca="false">V33*0.2</f>
        <v>13.3333333333333</v>
      </c>
      <c r="X33" s="45" t="n">
        <v>38</v>
      </c>
      <c r="Y33" s="46" t="n">
        <f aca="false">(X33/X$15)*50+50</f>
        <v>69</v>
      </c>
      <c r="Z33" s="46" t="n">
        <f aca="false">Y33*0.5</f>
        <v>34.5</v>
      </c>
      <c r="AA33" s="47" t="n">
        <f aca="false">SUM(Z33,W33,O33)</f>
        <v>73.3333333333333</v>
      </c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GENGOS, JUN APOSTOL</v>
      </c>
      <c r="C34" s="45" t="n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n">
        <f aca="false">SUMIF(C34:L34,"&lt;&gt;",C34:L34)</f>
        <v>8</v>
      </c>
      <c r="N34" s="46" t="n">
        <f aca="false">(M34/M$15)*50+50</f>
        <v>90</v>
      </c>
      <c r="O34" s="46" t="n">
        <f aca="false">N34*0.3</f>
        <v>27</v>
      </c>
      <c r="P34" s="45"/>
      <c r="Q34" s="45"/>
      <c r="R34" s="45"/>
      <c r="S34" s="45"/>
      <c r="T34" s="45"/>
      <c r="U34" s="46" t="n">
        <f aca="false">SUMIF(P34:T34,"&lt;&gt;",P34:T34)</f>
        <v>0</v>
      </c>
      <c r="V34" s="46" t="n">
        <f aca="false">(U34/U$15)*50+50</f>
        <v>50</v>
      </c>
      <c r="W34" s="46" t="n">
        <f aca="false">V34*0.2</f>
        <v>10</v>
      </c>
      <c r="X34" s="45" t="n">
        <v>41</v>
      </c>
      <c r="Y34" s="46" t="n">
        <f aca="false">(X34/X$15)*50+50</f>
        <v>70.5</v>
      </c>
      <c r="Z34" s="46" t="n">
        <f aca="false">Y34*0.5</f>
        <v>35.25</v>
      </c>
      <c r="AA34" s="47" t="n">
        <f aca="false">SUM(Z34,W34,O34)</f>
        <v>72.25</v>
      </c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GENOVA, JAMES DELA CRUZ</v>
      </c>
      <c r="C35" s="45" t="n">
        <v>7</v>
      </c>
      <c r="D35" s="45"/>
      <c r="E35" s="45"/>
      <c r="F35" s="45"/>
      <c r="G35" s="45"/>
      <c r="H35" s="45"/>
      <c r="I35" s="45"/>
      <c r="J35" s="45"/>
      <c r="K35" s="45"/>
      <c r="L35" s="45"/>
      <c r="M35" s="46" t="n">
        <f aca="false">SUMIF(C35:L35,"&lt;&gt;",C35:L35)</f>
        <v>7</v>
      </c>
      <c r="N35" s="46" t="n">
        <f aca="false">(M35/M$15)*50+50</f>
        <v>85</v>
      </c>
      <c r="O35" s="46" t="n">
        <f aca="false">N35*0.3</f>
        <v>25.5</v>
      </c>
      <c r="P35" s="45"/>
      <c r="Q35" s="45"/>
      <c r="R35" s="45"/>
      <c r="S35" s="45"/>
      <c r="T35" s="45"/>
      <c r="U35" s="46" t="n">
        <f aca="false">SUMIF(P35:T35,"&lt;&gt;",P35:T35)</f>
        <v>0</v>
      </c>
      <c r="V35" s="46" t="n">
        <f aca="false">(U35/U$15)*50+50</f>
        <v>50</v>
      </c>
      <c r="W35" s="46" t="n">
        <f aca="false">V35*0.2</f>
        <v>10</v>
      </c>
      <c r="X35" s="45" t="n">
        <v>35</v>
      </c>
      <c r="Y35" s="46" t="n">
        <f aca="false">(X35/X$15)*50+50</f>
        <v>67.5</v>
      </c>
      <c r="Z35" s="46" t="n">
        <f aca="false">Y35*0.5</f>
        <v>33.75</v>
      </c>
      <c r="AA35" s="47" t="n">
        <f aca="false">SUM(Z35,W35,O35)</f>
        <v>69.25</v>
      </c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GEPULANI, JESSA MAE CALUBAQUIT</v>
      </c>
      <c r="C36" s="45" t="n">
        <v>4</v>
      </c>
      <c r="D36" s="45"/>
      <c r="E36" s="45"/>
      <c r="F36" s="45"/>
      <c r="G36" s="45"/>
      <c r="H36" s="45"/>
      <c r="I36" s="45"/>
      <c r="J36" s="45"/>
      <c r="K36" s="45"/>
      <c r="L36" s="45"/>
      <c r="M36" s="46" t="n">
        <f aca="false">SUMIF(C36:L36,"&lt;&gt;",C36:L36)</f>
        <v>4</v>
      </c>
      <c r="N36" s="46" t="n">
        <f aca="false">(M36/M$15)*50+50</f>
        <v>70</v>
      </c>
      <c r="O36" s="46" t="n">
        <f aca="false">N36*0.3</f>
        <v>21</v>
      </c>
      <c r="P36" s="45"/>
      <c r="Q36" s="45" t="n">
        <v>50</v>
      </c>
      <c r="R36" s="45"/>
      <c r="S36" s="45"/>
      <c r="T36" s="45"/>
      <c r="U36" s="46" t="n">
        <f aca="false">SUMIF(P36:T36,"&lt;&gt;",P36:T36)</f>
        <v>50</v>
      </c>
      <c r="V36" s="46" t="n">
        <f aca="false">(U36/U$15)*50+50</f>
        <v>66.6666666666667</v>
      </c>
      <c r="W36" s="46" t="n">
        <f aca="false">V36*0.2</f>
        <v>13.3333333333333</v>
      </c>
      <c r="X36" s="45" t="n">
        <v>33</v>
      </c>
      <c r="Y36" s="46" t="n">
        <f aca="false">(X36/X$15)*50+50</f>
        <v>66.5</v>
      </c>
      <c r="Z36" s="46" t="n">
        <f aca="false">Y36*0.5</f>
        <v>33.25</v>
      </c>
      <c r="AA36" s="47" t="n">
        <f aca="false">SUM(Z36,W36,O36)</f>
        <v>67.5833333333333</v>
      </c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GERALDOY, PRECIOUS MARIE BAT-OG</v>
      </c>
      <c r="C37" s="45" t="n">
        <v>5</v>
      </c>
      <c r="D37" s="45"/>
      <c r="E37" s="45"/>
      <c r="F37" s="45"/>
      <c r="G37" s="45"/>
      <c r="H37" s="45"/>
      <c r="I37" s="45"/>
      <c r="J37" s="45"/>
      <c r="K37" s="45"/>
      <c r="L37" s="45"/>
      <c r="M37" s="46" t="n">
        <f aca="false">SUMIF(C37:L37,"&lt;&gt;",C37:L37)</f>
        <v>5</v>
      </c>
      <c r="N37" s="46" t="n">
        <f aca="false">(M37/M$15)*50+50</f>
        <v>75</v>
      </c>
      <c r="O37" s="46" t="n">
        <f aca="false">N37*0.3</f>
        <v>22.5</v>
      </c>
      <c r="P37" s="45"/>
      <c r="Q37" s="45" t="n">
        <v>50</v>
      </c>
      <c r="R37" s="45"/>
      <c r="S37" s="45"/>
      <c r="T37" s="45"/>
      <c r="U37" s="46" t="n">
        <f aca="false">SUMIF(P37:T37,"&lt;&gt;",P37:T37)</f>
        <v>50</v>
      </c>
      <c r="V37" s="46" t="n">
        <f aca="false">(U37/U$15)*50+50</f>
        <v>66.6666666666667</v>
      </c>
      <c r="W37" s="46" t="n">
        <f aca="false">V37*0.2</f>
        <v>13.3333333333333</v>
      </c>
      <c r="X37" s="45" t="n">
        <v>35</v>
      </c>
      <c r="Y37" s="46" t="n">
        <f aca="false">(X37/X$15)*50+50</f>
        <v>67.5</v>
      </c>
      <c r="Z37" s="46" t="n">
        <f aca="false">Y37*0.5</f>
        <v>33.75</v>
      </c>
      <c r="AA37" s="47" t="n">
        <f aca="false">SUM(Z37,W37,O37)</f>
        <v>69.5833333333333</v>
      </c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GESTUPA, STEPHINE NICKLE COLIMBO</v>
      </c>
      <c r="C38" s="45" t="n">
        <v>7</v>
      </c>
      <c r="D38" s="45"/>
      <c r="E38" s="45"/>
      <c r="F38" s="45"/>
      <c r="G38" s="45"/>
      <c r="H38" s="45"/>
      <c r="I38" s="45"/>
      <c r="J38" s="45"/>
      <c r="K38" s="45"/>
      <c r="L38" s="45"/>
      <c r="M38" s="46" t="n">
        <f aca="false">SUMIF(C38:L38,"&lt;&gt;",C38:L38)</f>
        <v>7</v>
      </c>
      <c r="N38" s="46" t="n">
        <f aca="false">(M38/M$15)*50+50</f>
        <v>85</v>
      </c>
      <c r="O38" s="46" t="n">
        <f aca="false">N38*0.3</f>
        <v>25.5</v>
      </c>
      <c r="P38" s="45"/>
      <c r="Q38" s="45"/>
      <c r="R38" s="45"/>
      <c r="S38" s="45"/>
      <c r="T38" s="45"/>
      <c r="U38" s="46" t="n">
        <f aca="false">SUMIF(P38:T38,"&lt;&gt;",P38:T38)</f>
        <v>0</v>
      </c>
      <c r="V38" s="46" t="n">
        <f aca="false">(U38/U$15)*50+50</f>
        <v>50</v>
      </c>
      <c r="W38" s="46" t="n">
        <f aca="false">V38*0.2</f>
        <v>10</v>
      </c>
      <c r="X38" s="45" t="n">
        <v>21</v>
      </c>
      <c r="Y38" s="46" t="n">
        <f aca="false">(X38/X$15)*50+50</f>
        <v>60.5</v>
      </c>
      <c r="Z38" s="46" t="n">
        <f aca="false">Y38*0.5</f>
        <v>30.25</v>
      </c>
      <c r="AA38" s="47" t="n">
        <f aca="false">SUM(Z38,W38,O38)</f>
        <v>65.75</v>
      </c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GILGON, ABEGAIL PELARA</v>
      </c>
      <c r="C39" s="45" t="n">
        <v>8</v>
      </c>
      <c r="D39" s="45"/>
      <c r="E39" s="45"/>
      <c r="F39" s="45"/>
      <c r="G39" s="45"/>
      <c r="H39" s="45"/>
      <c r="I39" s="45"/>
      <c r="J39" s="45"/>
      <c r="K39" s="45"/>
      <c r="L39" s="45"/>
      <c r="M39" s="46" t="n">
        <f aca="false">SUMIF(C39:L39,"&lt;&gt;",C39:L39)</f>
        <v>8</v>
      </c>
      <c r="N39" s="46" t="n">
        <f aca="false">(M39/M$15)*50+50</f>
        <v>90</v>
      </c>
      <c r="O39" s="46" t="n">
        <f aca="false">N39*0.3</f>
        <v>27</v>
      </c>
      <c r="P39" s="45"/>
      <c r="Q39" s="45" t="n">
        <v>50</v>
      </c>
      <c r="R39" s="45"/>
      <c r="S39" s="45"/>
      <c r="T39" s="45"/>
      <c r="U39" s="46" t="n">
        <f aca="false">SUMIF(P39:T39,"&lt;&gt;",P39:T39)</f>
        <v>50</v>
      </c>
      <c r="V39" s="46" t="n">
        <f aca="false">(U39/U$15)*50+50</f>
        <v>66.6666666666667</v>
      </c>
      <c r="W39" s="46" t="n">
        <f aca="false">V39*0.2</f>
        <v>13.3333333333333</v>
      </c>
      <c r="X39" s="45" t="n">
        <v>44</v>
      </c>
      <c r="Y39" s="46" t="n">
        <f aca="false">(X39/X$15)*50+50</f>
        <v>72</v>
      </c>
      <c r="Z39" s="46" t="n">
        <f aca="false">Y39*0.5</f>
        <v>36</v>
      </c>
      <c r="AA39" s="47" t="n">
        <f aca="false">SUM(Z39,W39,O39)</f>
        <v>76.3333333333333</v>
      </c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GITALAN, JOHN MARK GRANFIEL</v>
      </c>
      <c r="C40" s="45" t="n">
        <v>7</v>
      </c>
      <c r="D40" s="45"/>
      <c r="E40" s="45"/>
      <c r="F40" s="45"/>
      <c r="G40" s="45"/>
      <c r="H40" s="45"/>
      <c r="I40" s="45"/>
      <c r="J40" s="45"/>
      <c r="K40" s="45"/>
      <c r="L40" s="45"/>
      <c r="M40" s="46" t="n">
        <f aca="false">SUMIF(C40:L40,"&lt;&gt;",C40:L40)</f>
        <v>7</v>
      </c>
      <c r="N40" s="46" t="n">
        <f aca="false">(M40/M$15)*50+50</f>
        <v>85</v>
      </c>
      <c r="O40" s="46" t="n">
        <f aca="false">N40*0.3</f>
        <v>25.5</v>
      </c>
      <c r="P40" s="45"/>
      <c r="Q40" s="45" t="n">
        <v>50</v>
      </c>
      <c r="R40" s="45"/>
      <c r="S40" s="45"/>
      <c r="T40" s="45"/>
      <c r="U40" s="46" t="n">
        <f aca="false">SUMIF(P40:T40,"&lt;&gt;",P40:T40)</f>
        <v>50</v>
      </c>
      <c r="V40" s="46" t="n">
        <f aca="false">(U40/U$15)*50+50</f>
        <v>66.6666666666667</v>
      </c>
      <c r="W40" s="46" t="n">
        <f aca="false">V40*0.2</f>
        <v>13.3333333333333</v>
      </c>
      <c r="X40" s="45" t="n">
        <v>39</v>
      </c>
      <c r="Y40" s="46" t="n">
        <f aca="false">(X40/X$15)*50+50</f>
        <v>69.5</v>
      </c>
      <c r="Z40" s="46" t="n">
        <f aca="false">Y40*0.5</f>
        <v>34.75</v>
      </c>
      <c r="AA40" s="47" t="n">
        <f aca="false">SUM(Z40,W40,O40)</f>
        <v>73.5833333333333</v>
      </c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GORDO, PAUL GREG BAJO</v>
      </c>
      <c r="C41" s="45" t="n">
        <v>8</v>
      </c>
      <c r="D41" s="45"/>
      <c r="E41" s="45"/>
      <c r="F41" s="45"/>
      <c r="G41" s="45"/>
      <c r="H41" s="45"/>
      <c r="I41" s="45"/>
      <c r="J41" s="45"/>
      <c r="K41" s="45"/>
      <c r="L41" s="45"/>
      <c r="M41" s="46" t="n">
        <f aca="false">SUMIF(C41:L41,"&lt;&gt;",C41:L41)</f>
        <v>8</v>
      </c>
      <c r="N41" s="46" t="n">
        <f aca="false">(M41/M$15)*50+50</f>
        <v>90</v>
      </c>
      <c r="O41" s="46" t="n">
        <f aca="false">N41*0.3</f>
        <v>27</v>
      </c>
      <c r="P41" s="45"/>
      <c r="Q41" s="45"/>
      <c r="R41" s="45"/>
      <c r="S41" s="45"/>
      <c r="T41" s="45"/>
      <c r="U41" s="46" t="n">
        <f aca="false">SUMIF(P41:T41,"&lt;&gt;",P41:T41)</f>
        <v>0</v>
      </c>
      <c r="V41" s="46" t="n">
        <f aca="false">(U41/U$15)*50+50</f>
        <v>50</v>
      </c>
      <c r="W41" s="46" t="n">
        <f aca="false">V41*0.2</f>
        <v>10</v>
      </c>
      <c r="X41" s="45" t="n">
        <v>36</v>
      </c>
      <c r="Y41" s="46" t="n">
        <f aca="false">(X41/X$15)*50+50</f>
        <v>68</v>
      </c>
      <c r="Z41" s="46" t="n">
        <f aca="false">Y41*0.5</f>
        <v>34</v>
      </c>
      <c r="AA41" s="47" t="n">
        <f aca="false">SUM(Z41,W41,O41)</f>
        <v>71</v>
      </c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GRANDEA, JOSE REY URBANOZO</v>
      </c>
      <c r="C42" s="45" t="n">
        <v>8</v>
      </c>
      <c r="D42" s="45"/>
      <c r="E42" s="45"/>
      <c r="F42" s="45"/>
      <c r="G42" s="45"/>
      <c r="H42" s="45"/>
      <c r="I42" s="45"/>
      <c r="J42" s="45"/>
      <c r="K42" s="45"/>
      <c r="L42" s="45"/>
      <c r="M42" s="46" t="n">
        <f aca="false">SUMIF(C42:L42,"&lt;&gt;",C42:L42)</f>
        <v>8</v>
      </c>
      <c r="N42" s="46" t="n">
        <f aca="false">(M42/M$15)*50+50</f>
        <v>90</v>
      </c>
      <c r="O42" s="46" t="n">
        <f aca="false">N42*0.3</f>
        <v>27</v>
      </c>
      <c r="P42" s="45"/>
      <c r="Q42" s="45" t="n">
        <v>50</v>
      </c>
      <c r="R42" s="45"/>
      <c r="S42" s="45"/>
      <c r="T42" s="45"/>
      <c r="U42" s="46" t="n">
        <f aca="false">SUMIF(P42:T42,"&lt;&gt;",P42:T42)</f>
        <v>50</v>
      </c>
      <c r="V42" s="46" t="n">
        <f aca="false">(U42/U$15)*50+50</f>
        <v>66.6666666666667</v>
      </c>
      <c r="W42" s="46" t="n">
        <f aca="false">V42*0.2</f>
        <v>13.3333333333333</v>
      </c>
      <c r="X42" s="45" t="n">
        <v>47</v>
      </c>
      <c r="Y42" s="46" t="n">
        <f aca="false">(X42/X$15)*50+50</f>
        <v>73.5</v>
      </c>
      <c r="Z42" s="46" t="n">
        <f aca="false">Y42*0.5</f>
        <v>36.75</v>
      </c>
      <c r="AA42" s="47" t="n">
        <f aca="false">SUM(Z42,W42,O42)</f>
        <v>77.0833333333333</v>
      </c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GUILARAN, CHRISTIAN VILLAMAR</v>
      </c>
      <c r="C43" s="45" t="n">
        <v>5</v>
      </c>
      <c r="D43" s="45"/>
      <c r="E43" s="45"/>
      <c r="F43" s="45"/>
      <c r="G43" s="45"/>
      <c r="H43" s="45"/>
      <c r="I43" s="45"/>
      <c r="J43" s="45"/>
      <c r="K43" s="45"/>
      <c r="L43" s="45"/>
      <c r="M43" s="46" t="n">
        <f aca="false">SUMIF(C43:L43,"&lt;&gt;",C43:L43)</f>
        <v>5</v>
      </c>
      <c r="N43" s="46" t="n">
        <f aca="false">(M43/M$15)*50+50</f>
        <v>75</v>
      </c>
      <c r="O43" s="46" t="n">
        <f aca="false">N43*0.3</f>
        <v>22.5</v>
      </c>
      <c r="P43" s="45" t="n">
        <v>100</v>
      </c>
      <c r="Q43" s="45" t="n">
        <v>50</v>
      </c>
      <c r="R43" s="45"/>
      <c r="S43" s="45"/>
      <c r="T43" s="45"/>
      <c r="U43" s="46" t="n">
        <f aca="false">SUMIF(P43:T43,"&lt;&gt;",P43:T43)</f>
        <v>150</v>
      </c>
      <c r="V43" s="46" t="n">
        <f aca="false">(U43/U$15)*50+50</f>
        <v>100</v>
      </c>
      <c r="W43" s="46" t="n">
        <f aca="false">V43*0.2</f>
        <v>20</v>
      </c>
      <c r="X43" s="45" t="n">
        <v>20</v>
      </c>
      <c r="Y43" s="46" t="n">
        <f aca="false">(X43/X$15)*50+50</f>
        <v>60</v>
      </c>
      <c r="Z43" s="46" t="n">
        <f aca="false">Y43*0.5</f>
        <v>30</v>
      </c>
      <c r="AA43" s="47" t="n">
        <f aca="false">SUM(Z43,W43,O43)</f>
        <v>72.5</v>
      </c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HERMOSURA, JAYCA FUNDADOR</v>
      </c>
      <c r="C44" s="45" t="n">
        <v>9</v>
      </c>
      <c r="D44" s="45"/>
      <c r="E44" s="45"/>
      <c r="F44" s="45"/>
      <c r="G44" s="45"/>
      <c r="H44" s="45"/>
      <c r="I44" s="45"/>
      <c r="J44" s="45"/>
      <c r="K44" s="45"/>
      <c r="L44" s="45"/>
      <c r="M44" s="46" t="n">
        <f aca="false">SUMIF(C44:L44,"&lt;&gt;",C44:L44)</f>
        <v>9</v>
      </c>
      <c r="N44" s="46" t="n">
        <f aca="false">(M44/M$15)*50+50</f>
        <v>95</v>
      </c>
      <c r="O44" s="46" t="n">
        <f aca="false">N44*0.3</f>
        <v>28.5</v>
      </c>
      <c r="P44" s="45"/>
      <c r="Q44" s="45" t="n">
        <v>50</v>
      </c>
      <c r="R44" s="45"/>
      <c r="S44" s="45"/>
      <c r="T44" s="45"/>
      <c r="U44" s="46" t="n">
        <f aca="false">SUMIF(P44:T44,"&lt;&gt;",P44:T44)</f>
        <v>50</v>
      </c>
      <c r="V44" s="46" t="n">
        <f aca="false">(U44/U$15)*50+50</f>
        <v>66.6666666666667</v>
      </c>
      <c r="W44" s="46" t="n">
        <f aca="false">V44*0.2</f>
        <v>13.3333333333333</v>
      </c>
      <c r="X44" s="45" t="n">
        <v>45</v>
      </c>
      <c r="Y44" s="46" t="n">
        <f aca="false">(X44/X$15)*50+50</f>
        <v>72.5</v>
      </c>
      <c r="Z44" s="46" t="n">
        <f aca="false">Y44*0.5</f>
        <v>36.25</v>
      </c>
      <c r="AA44" s="47" t="n">
        <f aca="false">SUM(Z44,W44,O44)</f>
        <v>78.0833333333333</v>
      </c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HILADO, CATHERINE SALVILLA</v>
      </c>
      <c r="C45" s="45" t="n">
        <v>5</v>
      </c>
      <c r="D45" s="45"/>
      <c r="E45" s="45"/>
      <c r="F45" s="45"/>
      <c r="G45" s="45"/>
      <c r="H45" s="45"/>
      <c r="I45" s="45"/>
      <c r="J45" s="45"/>
      <c r="K45" s="45"/>
      <c r="L45" s="45"/>
      <c r="M45" s="46" t="n">
        <f aca="false">SUMIF(C45:L45,"&lt;&gt;",C45:L45)</f>
        <v>5</v>
      </c>
      <c r="N45" s="46" t="n">
        <f aca="false">(M45/M$15)*50+50</f>
        <v>75</v>
      </c>
      <c r="O45" s="46" t="n">
        <f aca="false">N45*0.3</f>
        <v>22.5</v>
      </c>
      <c r="P45" s="45"/>
      <c r="Q45" s="45" t="n">
        <v>50</v>
      </c>
      <c r="R45" s="45"/>
      <c r="S45" s="45"/>
      <c r="T45" s="45"/>
      <c r="U45" s="46" t="n">
        <f aca="false">SUMIF(P45:T45,"&lt;&gt;",P45:T45)</f>
        <v>50</v>
      </c>
      <c r="V45" s="46" t="n">
        <f aca="false">(U45/U$15)*50+50</f>
        <v>66.6666666666667</v>
      </c>
      <c r="W45" s="46" t="n">
        <f aca="false">V45*0.2</f>
        <v>13.3333333333333</v>
      </c>
      <c r="X45" s="45" t="n">
        <v>42</v>
      </c>
      <c r="Y45" s="46" t="n">
        <f aca="false">(X45/X$15)*50+50</f>
        <v>71</v>
      </c>
      <c r="Z45" s="46" t="n">
        <f aca="false">Y45*0.5</f>
        <v>35.5</v>
      </c>
      <c r="AA45" s="47" t="n">
        <f aca="false">SUM(Z45,W45,O45)</f>
        <v>71.3333333333333</v>
      </c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IBAÑEZ , ALFON FRANC DELA CRUZ</v>
      </c>
      <c r="C46" s="45" t="n">
        <v>9</v>
      </c>
      <c r="D46" s="45"/>
      <c r="E46" s="45"/>
      <c r="F46" s="45"/>
      <c r="G46" s="45"/>
      <c r="H46" s="45"/>
      <c r="I46" s="45"/>
      <c r="J46" s="45"/>
      <c r="K46" s="45"/>
      <c r="L46" s="45"/>
      <c r="M46" s="46" t="n">
        <f aca="false">SUMIF(C46:L46,"&lt;&gt;",C46:L46)</f>
        <v>9</v>
      </c>
      <c r="N46" s="46" t="n">
        <f aca="false">(M46/M$15)*50+50</f>
        <v>95</v>
      </c>
      <c r="O46" s="46" t="n">
        <f aca="false">N46*0.3</f>
        <v>28.5</v>
      </c>
      <c r="P46" s="45"/>
      <c r="Q46" s="45"/>
      <c r="R46" s="45"/>
      <c r="S46" s="45"/>
      <c r="T46" s="45"/>
      <c r="U46" s="46" t="n">
        <f aca="false">SUMIF(P46:T46,"&lt;&gt;",P46:T46)</f>
        <v>0</v>
      </c>
      <c r="V46" s="46" t="n">
        <f aca="false">(U46/U$15)*50+50</f>
        <v>50</v>
      </c>
      <c r="W46" s="46" t="n">
        <f aca="false">V46*0.2</f>
        <v>10</v>
      </c>
      <c r="X46" s="45" t="n">
        <v>31</v>
      </c>
      <c r="Y46" s="46" t="n">
        <f aca="false">(X46/X$15)*50+50</f>
        <v>65.5</v>
      </c>
      <c r="Z46" s="46" t="n">
        <f aca="false">Y46*0.5</f>
        <v>32.75</v>
      </c>
      <c r="AA46" s="47" t="n">
        <f aca="false">SUM(Z46,W46,O46)</f>
        <v>71.25</v>
      </c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IBAÑEZ, LEO CASSANDRE DIONILLO</v>
      </c>
      <c r="C47" s="45" t="n">
        <v>7</v>
      </c>
      <c r="D47" s="45"/>
      <c r="E47" s="45"/>
      <c r="F47" s="45"/>
      <c r="G47" s="45"/>
      <c r="H47" s="45"/>
      <c r="I47" s="45"/>
      <c r="J47" s="45"/>
      <c r="K47" s="45"/>
      <c r="L47" s="45"/>
      <c r="M47" s="46" t="n">
        <f aca="false">SUMIF(C47:L47,"&lt;&gt;",C47:L47)</f>
        <v>7</v>
      </c>
      <c r="N47" s="46" t="n">
        <f aca="false">(M47/M$15)*50+50</f>
        <v>85</v>
      </c>
      <c r="O47" s="46" t="n">
        <f aca="false">N47*0.3</f>
        <v>25.5</v>
      </c>
      <c r="P47" s="45"/>
      <c r="Q47" s="45" t="n">
        <v>50</v>
      </c>
      <c r="R47" s="45"/>
      <c r="S47" s="45"/>
      <c r="T47" s="45"/>
      <c r="U47" s="46" t="n">
        <f aca="false">SUMIF(P47:T47,"&lt;&gt;",P47:T47)</f>
        <v>50</v>
      </c>
      <c r="V47" s="46" t="n">
        <f aca="false">(U47/U$15)*50+50</f>
        <v>66.6666666666667</v>
      </c>
      <c r="W47" s="46" t="n">
        <f aca="false">V47*0.2</f>
        <v>13.3333333333333</v>
      </c>
      <c r="X47" s="45" t="n">
        <v>37</v>
      </c>
      <c r="Y47" s="46" t="n">
        <f aca="false">(X47/X$15)*50+50</f>
        <v>68.5</v>
      </c>
      <c r="Z47" s="46" t="n">
        <f aca="false">Y47*0.5</f>
        <v>34.25</v>
      </c>
      <c r="AA47" s="47" t="n">
        <f aca="false">SUM(Z47,W47,O47)</f>
        <v>73.0833333333333</v>
      </c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ILUSTRISIMO, REYNALDO SAYSON</v>
      </c>
      <c r="C48" s="45" t="n">
        <v>5</v>
      </c>
      <c r="D48" s="45"/>
      <c r="E48" s="45"/>
      <c r="F48" s="45"/>
      <c r="G48" s="45"/>
      <c r="H48" s="45"/>
      <c r="I48" s="45"/>
      <c r="J48" s="45"/>
      <c r="K48" s="45"/>
      <c r="L48" s="45"/>
      <c r="M48" s="46" t="n">
        <f aca="false">SUMIF(C48:L48,"&lt;&gt;",C48:L48)</f>
        <v>5</v>
      </c>
      <c r="N48" s="46" t="n">
        <f aca="false">(M48/M$15)*50+50</f>
        <v>75</v>
      </c>
      <c r="O48" s="46" t="n">
        <f aca="false">N48*0.3</f>
        <v>22.5</v>
      </c>
      <c r="P48" s="45"/>
      <c r="Q48" s="45" t="n">
        <v>50</v>
      </c>
      <c r="R48" s="45"/>
      <c r="S48" s="45"/>
      <c r="T48" s="45"/>
      <c r="U48" s="46" t="n">
        <f aca="false">SUMIF(P48:T48,"&lt;&gt;",P48:T48)</f>
        <v>50</v>
      </c>
      <c r="V48" s="46" t="n">
        <f aca="false">(U48/U$15)*50+50</f>
        <v>66.6666666666667</v>
      </c>
      <c r="W48" s="46" t="n">
        <f aca="false">V48*0.2</f>
        <v>13.3333333333333</v>
      </c>
      <c r="X48" s="45" t="n">
        <v>42</v>
      </c>
      <c r="Y48" s="46" t="n">
        <f aca="false">(X48/X$15)*50+50</f>
        <v>71</v>
      </c>
      <c r="Z48" s="46" t="n">
        <f aca="false">Y48*0.5</f>
        <v>35.5</v>
      </c>
      <c r="AA48" s="47" t="n">
        <f aca="false">SUM(Z48,W48,O48)</f>
        <v>71.3333333333333</v>
      </c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ILUSTRISIMO, REYSHEL SAYSON</v>
      </c>
      <c r="C49" s="45" t="n">
        <v>6</v>
      </c>
      <c r="D49" s="45"/>
      <c r="E49" s="45"/>
      <c r="F49" s="45"/>
      <c r="G49" s="45"/>
      <c r="H49" s="45"/>
      <c r="I49" s="45"/>
      <c r="J49" s="45"/>
      <c r="K49" s="45"/>
      <c r="L49" s="45"/>
      <c r="M49" s="46" t="n">
        <f aca="false">SUMIF(C49:L49,"&lt;&gt;",C49:L49)</f>
        <v>6</v>
      </c>
      <c r="N49" s="46" t="n">
        <f aca="false">(M49/M$15)*50+50</f>
        <v>80</v>
      </c>
      <c r="O49" s="48" t="n">
        <f aca="false">N49*0.3</f>
        <v>24</v>
      </c>
      <c r="P49" s="45"/>
      <c r="Q49" s="45" t="n">
        <v>50</v>
      </c>
      <c r="R49" s="45"/>
      <c r="S49" s="45"/>
      <c r="T49" s="45"/>
      <c r="U49" s="46" t="n">
        <f aca="false">SUMIF(P49:T49,"&lt;&gt;",P49:T49)</f>
        <v>50</v>
      </c>
      <c r="V49" s="46" t="n">
        <f aca="false">(U49/U$15)*50+50</f>
        <v>66.6666666666667</v>
      </c>
      <c r="W49" s="46" t="n">
        <f aca="false">V49*0.2</f>
        <v>13.3333333333333</v>
      </c>
      <c r="X49" s="45" t="n">
        <v>43</v>
      </c>
      <c r="Y49" s="46" t="n">
        <f aca="false">(X49/X$15)*50+50</f>
        <v>71.5</v>
      </c>
      <c r="Z49" s="46" t="n">
        <f aca="false">Y49*0.5</f>
        <v>35.75</v>
      </c>
      <c r="AA49" s="47" t="n">
        <f aca="false">SUM(Z49,W49,O49)</f>
        <v>73.0833333333333</v>
      </c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JAIN, HARVEY ARIOLA</v>
      </c>
      <c r="C50" s="45" t="n">
        <v>9</v>
      </c>
      <c r="D50" s="45"/>
      <c r="E50" s="45"/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9</v>
      </c>
      <c r="N50" s="46" t="n">
        <f aca="false">(M50/M$15)*50+50</f>
        <v>95</v>
      </c>
      <c r="O50" s="48" t="n">
        <f aca="false">N50*0.3</f>
        <v>28.5</v>
      </c>
      <c r="P50" s="45"/>
      <c r="Q50" s="45" t="n">
        <v>50</v>
      </c>
      <c r="R50" s="45"/>
      <c r="S50" s="45"/>
      <c r="T50" s="45"/>
      <c r="U50" s="46" t="n">
        <f aca="false">SUMIF(P50:T50,"&lt;&gt;",P50:T50)</f>
        <v>50</v>
      </c>
      <c r="V50" s="46" t="n">
        <f aca="false">(U50/U$15)*50+50</f>
        <v>66.6666666666667</v>
      </c>
      <c r="W50" s="46" t="n">
        <f aca="false">V50*0.2</f>
        <v>13.3333333333333</v>
      </c>
      <c r="X50" s="45" t="n">
        <v>27</v>
      </c>
      <c r="Y50" s="46" t="n">
        <f aca="false">(X50/X$15)*50+50</f>
        <v>63.5</v>
      </c>
      <c r="Z50" s="46" t="n">
        <f aca="false">Y50*0.5</f>
        <v>31.75</v>
      </c>
      <c r="AA50" s="47" t="n">
        <f aca="false">SUM(Z50,W50,O50)</f>
        <v>73.5833333333333</v>
      </c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LACHICA, ALTHEIA ROSE CASIDSID</v>
      </c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6" t="n">
        <f aca="false">SUMIF(C51:L51,"&lt;&gt;",C51:L51)</f>
        <v>0</v>
      </c>
      <c r="N51" s="46" t="n">
        <f aca="false">(M51/M$15)*50+50</f>
        <v>50</v>
      </c>
      <c r="O51" s="48" t="n">
        <f aca="false">N51*0.3</f>
        <v>15</v>
      </c>
      <c r="P51" s="45"/>
      <c r="Q51" s="45" t="n">
        <v>50</v>
      </c>
      <c r="R51" s="45"/>
      <c r="S51" s="45"/>
      <c r="T51" s="45"/>
      <c r="U51" s="46" t="n">
        <f aca="false">SUMIF(P51:T51,"&lt;&gt;",P51:T51)</f>
        <v>50</v>
      </c>
      <c r="V51" s="46" t="n">
        <f aca="false">(U51/U$15)*50+50</f>
        <v>66.6666666666667</v>
      </c>
      <c r="W51" s="46" t="n">
        <f aca="false">V51*0.2</f>
        <v>13.3333333333333</v>
      </c>
      <c r="X51" s="45" t="n">
        <v>45</v>
      </c>
      <c r="Y51" s="46" t="n">
        <f aca="false">(X51/X$15)*50+50</f>
        <v>72.5</v>
      </c>
      <c r="Z51" s="46" t="n">
        <f aca="false">Y51*0.5</f>
        <v>36.25</v>
      </c>
      <c r="AA51" s="47" t="n">
        <f aca="false">SUM(Z51,W51,O51)</f>
        <v>64.5833333333333</v>
      </c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LACSON, NOVIE VALENTINO</v>
      </c>
      <c r="C52" s="45" t="n">
        <v>3</v>
      </c>
      <c r="D52" s="45"/>
      <c r="E52" s="45"/>
      <c r="F52" s="45"/>
      <c r="G52" s="45"/>
      <c r="H52" s="45"/>
      <c r="I52" s="45"/>
      <c r="J52" s="45"/>
      <c r="K52" s="45"/>
      <c r="L52" s="45"/>
      <c r="M52" s="46" t="n">
        <f aca="false">SUMIF(C52:L52,"&lt;&gt;",C52:L52)</f>
        <v>3</v>
      </c>
      <c r="N52" s="46" t="n">
        <f aca="false">(M52/M$15)*50+50</f>
        <v>65</v>
      </c>
      <c r="O52" s="48" t="n">
        <f aca="false">N52*0.3</f>
        <v>19.5</v>
      </c>
      <c r="P52" s="45" t="n">
        <v>100</v>
      </c>
      <c r="Q52" s="45" t="n">
        <v>50</v>
      </c>
      <c r="R52" s="45"/>
      <c r="S52" s="45"/>
      <c r="T52" s="45"/>
      <c r="U52" s="46" t="n">
        <f aca="false">SUMIF(P52:T52,"&lt;&gt;",P52:T52)</f>
        <v>150</v>
      </c>
      <c r="V52" s="46" t="n">
        <f aca="false">(U52/U$15)*50+50</f>
        <v>100</v>
      </c>
      <c r="W52" s="46" t="n">
        <f aca="false">V52*0.2</f>
        <v>20</v>
      </c>
      <c r="X52" s="45" t="n">
        <v>42</v>
      </c>
      <c r="Y52" s="46" t="n">
        <f aca="false">(X52/X$15)*50+50</f>
        <v>71</v>
      </c>
      <c r="Z52" s="46" t="n">
        <f aca="false">Y52*0.5</f>
        <v>35.5</v>
      </c>
      <c r="AA52" s="47" t="n">
        <f aca="false">SUM(Z52,W52,O52)</f>
        <v>75</v>
      </c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LAURITO, MJ MEDES</v>
      </c>
      <c r="C53" s="45" t="n">
        <v>6</v>
      </c>
      <c r="D53" s="45"/>
      <c r="E53" s="45"/>
      <c r="F53" s="45"/>
      <c r="G53" s="45"/>
      <c r="H53" s="45"/>
      <c r="I53" s="45"/>
      <c r="J53" s="45"/>
      <c r="K53" s="45"/>
      <c r="L53" s="45"/>
      <c r="M53" s="46" t="n">
        <f aca="false">SUMIF(C53:L53,"&lt;&gt;",C53:L53)</f>
        <v>6</v>
      </c>
      <c r="N53" s="46" t="n">
        <f aca="false">(M53/M$15)*50+50</f>
        <v>80</v>
      </c>
      <c r="O53" s="48" t="n">
        <f aca="false">N53*0.3</f>
        <v>24</v>
      </c>
      <c r="P53" s="45"/>
      <c r="Q53" s="45"/>
      <c r="R53" s="45"/>
      <c r="S53" s="45"/>
      <c r="T53" s="45"/>
      <c r="U53" s="46" t="n">
        <f aca="false">SUMIF(P53:T53,"&lt;&gt;",P53:T53)</f>
        <v>0</v>
      </c>
      <c r="V53" s="46" t="n">
        <f aca="false">(U53/U$15)*50+50</f>
        <v>50</v>
      </c>
      <c r="W53" s="46" t="n">
        <f aca="false">V53*0.2</f>
        <v>10</v>
      </c>
      <c r="X53" s="45" t="n">
        <v>46</v>
      </c>
      <c r="Y53" s="46" t="n">
        <f aca="false">(X53/X$15)*50+50</f>
        <v>73</v>
      </c>
      <c r="Z53" s="46" t="n">
        <f aca="false">Y53*0.5</f>
        <v>36.5</v>
      </c>
      <c r="AA53" s="47" t="n">
        <f aca="false">SUM(Z53,W53,O53)</f>
        <v>70.5</v>
      </c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LAYAN, JOHN REL RAGO</v>
      </c>
      <c r="C54" s="45" t="n">
        <v>8</v>
      </c>
      <c r="D54" s="45"/>
      <c r="E54" s="45"/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8</v>
      </c>
      <c r="N54" s="46" t="n">
        <f aca="false">(M54/M$15)*50+50</f>
        <v>90</v>
      </c>
      <c r="O54" s="48" t="n">
        <f aca="false">N54*0.3</f>
        <v>27</v>
      </c>
      <c r="P54" s="45"/>
      <c r="Q54" s="45" t="n">
        <v>50</v>
      </c>
      <c r="R54" s="45"/>
      <c r="S54" s="45"/>
      <c r="T54" s="45"/>
      <c r="U54" s="46" t="n">
        <f aca="false">SUMIF(P54:T54,"&lt;&gt;",P54:T54)</f>
        <v>50</v>
      </c>
      <c r="V54" s="46" t="n">
        <f aca="false">(U54/U$15)*50+50</f>
        <v>66.6666666666667</v>
      </c>
      <c r="W54" s="46" t="n">
        <f aca="false">V54*0.2</f>
        <v>13.3333333333333</v>
      </c>
      <c r="X54" s="45" t="n">
        <v>38</v>
      </c>
      <c r="Y54" s="46" t="n">
        <f aca="false">(X54/X$15)*50+50</f>
        <v>69</v>
      </c>
      <c r="Z54" s="46" t="n">
        <f aca="false">Y54*0.5</f>
        <v>34.5</v>
      </c>
      <c r="AA54" s="47" t="n">
        <f aca="false">SUM(Z54,W54,O54)</f>
        <v>74.8333333333333</v>
      </c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LIBRE, MARIEL CAUSAPIN</v>
      </c>
      <c r="C55" s="45" t="n">
        <v>9</v>
      </c>
      <c r="D55" s="45"/>
      <c r="E55" s="45"/>
      <c r="F55" s="45"/>
      <c r="G55" s="45"/>
      <c r="H55" s="45"/>
      <c r="I55" s="45"/>
      <c r="J55" s="45"/>
      <c r="K55" s="45"/>
      <c r="L55" s="45"/>
      <c r="M55" s="46" t="n">
        <f aca="false">SUMIF(C55:L55,"&lt;&gt;",C55:L55)</f>
        <v>9</v>
      </c>
      <c r="N55" s="46" t="n">
        <f aca="false">(M55/M$15)*50+50</f>
        <v>95</v>
      </c>
      <c r="O55" s="48" t="n">
        <f aca="false">N55*0.3</f>
        <v>28.5</v>
      </c>
      <c r="P55" s="45"/>
      <c r="Q55" s="45" t="n">
        <v>50</v>
      </c>
      <c r="R55" s="45"/>
      <c r="S55" s="45"/>
      <c r="T55" s="45"/>
      <c r="U55" s="46" t="n">
        <f aca="false">SUMIF(P55:T55,"&lt;&gt;",P55:T55)</f>
        <v>50</v>
      </c>
      <c r="V55" s="46" t="n">
        <f aca="false">(U55/U$15)*50+50</f>
        <v>66.6666666666667</v>
      </c>
      <c r="W55" s="46" t="n">
        <f aca="false">V55*0.2</f>
        <v>13.3333333333333</v>
      </c>
      <c r="X55" s="45" t="n">
        <v>47</v>
      </c>
      <c r="Y55" s="46" t="n">
        <f aca="false">(X55/X$15)*50+50</f>
        <v>73.5</v>
      </c>
      <c r="Z55" s="46" t="n">
        <f aca="false">Y55*0.5</f>
        <v>36.75</v>
      </c>
      <c r="AA55" s="47" t="n">
        <f aca="false">SUM(Z55,W55,O55)</f>
        <v>78.5833333333333</v>
      </c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LIRAZAN, ADRIAN PANONCIAL</v>
      </c>
      <c r="C56" s="45" t="n">
        <v>6</v>
      </c>
      <c r="D56" s="45"/>
      <c r="E56" s="45"/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6</v>
      </c>
      <c r="N56" s="46" t="n">
        <f aca="false">(M56/M$15)*50+50</f>
        <v>80</v>
      </c>
      <c r="O56" s="48" t="n">
        <f aca="false">N56*0.3</f>
        <v>24</v>
      </c>
      <c r="P56" s="45"/>
      <c r="Q56" s="45"/>
      <c r="R56" s="45"/>
      <c r="S56" s="45"/>
      <c r="T56" s="45"/>
      <c r="U56" s="46" t="n">
        <f aca="false">SUMIF(P56:T56,"&lt;&gt;",P56:T56)</f>
        <v>0</v>
      </c>
      <c r="V56" s="46" t="n">
        <f aca="false">(U56/U$15)*50+50</f>
        <v>50</v>
      </c>
      <c r="W56" s="46" t="n">
        <f aca="false">V56*0.2</f>
        <v>10</v>
      </c>
      <c r="X56" s="45" t="n">
        <v>28</v>
      </c>
      <c r="Y56" s="46" t="n">
        <f aca="false">(X56/X$15)*50+50</f>
        <v>64</v>
      </c>
      <c r="Z56" s="46" t="n">
        <f aca="false">Y56*0.5</f>
        <v>32</v>
      </c>
      <c r="AA56" s="47" t="n">
        <f aca="false">SUM(Z56,W56,O56)</f>
        <v>66</v>
      </c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LOZANA, REGEL KEN MAGDAEL</v>
      </c>
      <c r="C57" s="45" t="n">
        <v>3</v>
      </c>
      <c r="D57" s="45"/>
      <c r="E57" s="45"/>
      <c r="F57" s="45"/>
      <c r="G57" s="45"/>
      <c r="H57" s="45"/>
      <c r="I57" s="45"/>
      <c r="J57" s="45"/>
      <c r="K57" s="45"/>
      <c r="L57" s="45"/>
      <c r="M57" s="46" t="n">
        <f aca="false">SUMIF(C57:L57,"&lt;&gt;",C57:L57)</f>
        <v>3</v>
      </c>
      <c r="N57" s="46" t="n">
        <f aca="false">(M57/M$15)*50+50</f>
        <v>65</v>
      </c>
      <c r="O57" s="48" t="n">
        <f aca="false">N57*0.3</f>
        <v>19.5</v>
      </c>
      <c r="P57" s="45"/>
      <c r="Q57" s="45"/>
      <c r="R57" s="45"/>
      <c r="S57" s="45"/>
      <c r="T57" s="45"/>
      <c r="U57" s="46" t="n">
        <f aca="false">SUMIF(P57:T57,"&lt;&gt;",P57:T57)</f>
        <v>0</v>
      </c>
      <c r="V57" s="46" t="n">
        <f aca="false">(U57/U$15)*50+50</f>
        <v>50</v>
      </c>
      <c r="W57" s="46" t="n">
        <f aca="false">V57*0.2</f>
        <v>10</v>
      </c>
      <c r="X57" s="45"/>
      <c r="Y57" s="46" t="n">
        <f aca="false">(X57/X$15)*50+50</f>
        <v>50</v>
      </c>
      <c r="Z57" s="46" t="n">
        <f aca="false">Y57*0.5</f>
        <v>25</v>
      </c>
      <c r="AA57" s="47" t="n">
        <f aca="false">SUM(Z57,W57,O57)</f>
        <v>54.5</v>
      </c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LUCASAN, ARC XERLAN DULLA</v>
      </c>
      <c r="C58" s="45" t="n">
        <v>7</v>
      </c>
      <c r="D58" s="45"/>
      <c r="E58" s="45"/>
      <c r="F58" s="45"/>
      <c r="G58" s="45"/>
      <c r="H58" s="45"/>
      <c r="I58" s="45"/>
      <c r="J58" s="45"/>
      <c r="K58" s="45"/>
      <c r="L58" s="45"/>
      <c r="M58" s="46" t="n">
        <f aca="false">SUMIF(C58:L58,"&lt;&gt;",C58:L58)</f>
        <v>7</v>
      </c>
      <c r="N58" s="46" t="n">
        <f aca="false">(M58/M$15)*50+50</f>
        <v>85</v>
      </c>
      <c r="O58" s="48" t="n">
        <f aca="false">N58*0.3</f>
        <v>25.5</v>
      </c>
      <c r="P58" s="45"/>
      <c r="Q58" s="45" t="n">
        <v>50</v>
      </c>
      <c r="R58" s="45"/>
      <c r="S58" s="45"/>
      <c r="T58" s="45"/>
      <c r="U58" s="46" t="n">
        <f aca="false">SUMIF(P58:T58,"&lt;&gt;",P58:T58)</f>
        <v>50</v>
      </c>
      <c r="V58" s="46" t="n">
        <f aca="false">(U58/U$15)*50+50</f>
        <v>66.6666666666667</v>
      </c>
      <c r="W58" s="46" t="n">
        <f aca="false">V58*0.2</f>
        <v>13.3333333333333</v>
      </c>
      <c r="X58" s="45" t="n">
        <v>44</v>
      </c>
      <c r="Y58" s="46" t="n">
        <f aca="false">(X58/X$15)*50+50</f>
        <v>72</v>
      </c>
      <c r="Z58" s="46" t="n">
        <f aca="false">Y58*0.5</f>
        <v>36</v>
      </c>
      <c r="AA58" s="47" t="n">
        <f aca="false">SUM(Z58,W58,O58)</f>
        <v>74.8333333333333</v>
      </c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SILPAO, ADRIAN FREDERICK GATDULA</v>
      </c>
      <c r="C59" s="45" t="n">
        <v>4</v>
      </c>
      <c r="D59" s="45"/>
      <c r="E59" s="45"/>
      <c r="F59" s="45"/>
      <c r="G59" s="45"/>
      <c r="H59" s="45"/>
      <c r="I59" s="45"/>
      <c r="J59" s="45"/>
      <c r="K59" s="45"/>
      <c r="L59" s="45"/>
      <c r="M59" s="46" t="n">
        <f aca="false">SUMIF(C59:L59,"&lt;&gt;",C59:L59)</f>
        <v>4</v>
      </c>
      <c r="N59" s="46" t="n">
        <f aca="false">(M59/M$15)*50+50</f>
        <v>70</v>
      </c>
      <c r="O59" s="48" t="n">
        <f aca="false">N59*0.3</f>
        <v>21</v>
      </c>
      <c r="P59" s="45"/>
      <c r="Q59" s="45"/>
      <c r="R59" s="45"/>
      <c r="S59" s="45"/>
      <c r="T59" s="45"/>
      <c r="U59" s="46" t="n">
        <f aca="false">SUMIF(P59:T59,"&lt;&gt;",P59:T59)</f>
        <v>0</v>
      </c>
      <c r="V59" s="46" t="n">
        <f aca="false">(U59/U$15)*50+50</f>
        <v>50</v>
      </c>
      <c r="W59" s="46" t="n">
        <f aca="false">V59*0.2</f>
        <v>10</v>
      </c>
      <c r="X59" s="45" t="n">
        <v>44</v>
      </c>
      <c r="Y59" s="46" t="n">
        <f aca="false">(X59/X$15)*50+50</f>
        <v>72</v>
      </c>
      <c r="Z59" s="46" t="n">
        <f aca="false">Y59*0.5</f>
        <v>36</v>
      </c>
      <c r="AA59" s="47" t="n">
        <f aca="false">SUM(Z59,W59,O59)</f>
        <v>67</v>
      </c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SILPAO, ANDREI ANTONIO GATDULA</v>
      </c>
      <c r="C60" s="45" t="n">
        <v>4</v>
      </c>
      <c r="D60" s="45"/>
      <c r="E60" s="45"/>
      <c r="F60" s="45"/>
      <c r="G60" s="45"/>
      <c r="H60" s="45"/>
      <c r="I60" s="45"/>
      <c r="J60" s="45"/>
      <c r="K60" s="45"/>
      <c r="L60" s="45"/>
      <c r="M60" s="46" t="n">
        <f aca="false">SUMIF(C60:L60,"&lt;&gt;",C60:L60)</f>
        <v>4</v>
      </c>
      <c r="N60" s="46" t="n">
        <f aca="false">(M60/M$15)*50+50</f>
        <v>70</v>
      </c>
      <c r="O60" s="48" t="n">
        <f aca="false">N60*0.3</f>
        <v>21</v>
      </c>
      <c r="P60" s="45"/>
      <c r="Q60" s="45"/>
      <c r="R60" s="45"/>
      <c r="S60" s="45"/>
      <c r="T60" s="45"/>
      <c r="U60" s="46" t="n">
        <f aca="false">SUMIF(P60:T60,"&lt;&gt;",P60:T60)</f>
        <v>0</v>
      </c>
      <c r="V60" s="46" t="n">
        <f aca="false">(U60/U$15)*50+50</f>
        <v>50</v>
      </c>
      <c r="W60" s="46" t="n">
        <f aca="false">V60*0.2</f>
        <v>10</v>
      </c>
      <c r="X60" s="45" t="n">
        <v>43</v>
      </c>
      <c r="Y60" s="46" t="n">
        <f aca="false">(X60/X$15)*50+50</f>
        <v>71.5</v>
      </c>
      <c r="Z60" s="46" t="n">
        <f aca="false">Y60*0.5</f>
        <v>35.75</v>
      </c>
      <c r="AA60" s="47" t="n">
        <f aca="false">SUM(Z60,W60,O60)</f>
        <v>66.75</v>
      </c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SUMAGAYSAY, MAY ANN MOREÑO</v>
      </c>
      <c r="C61" s="45" t="n">
        <v>5</v>
      </c>
      <c r="D61" s="45"/>
      <c r="E61" s="45"/>
      <c r="F61" s="45"/>
      <c r="G61" s="45"/>
      <c r="H61" s="45"/>
      <c r="I61" s="45"/>
      <c r="J61" s="45"/>
      <c r="K61" s="45"/>
      <c r="L61" s="45"/>
      <c r="M61" s="46" t="n">
        <f aca="false">SUMIF(C61:L61,"&lt;&gt;",C61:L61)</f>
        <v>5</v>
      </c>
      <c r="N61" s="46" t="n">
        <f aca="false">(M61/M$15)*50+50</f>
        <v>75</v>
      </c>
      <c r="O61" s="48" t="n">
        <f aca="false">N61*0.3</f>
        <v>22.5</v>
      </c>
      <c r="P61" s="45"/>
      <c r="Q61" s="45"/>
      <c r="R61" s="45"/>
      <c r="S61" s="45"/>
      <c r="T61" s="45"/>
      <c r="U61" s="46" t="n">
        <f aca="false">SUMIF(P61:T61,"&lt;&gt;",P61:T61)</f>
        <v>0</v>
      </c>
      <c r="V61" s="46" t="n">
        <f aca="false">(U61/U$15)*50+50</f>
        <v>50</v>
      </c>
      <c r="W61" s="46" t="n">
        <f aca="false">V61*0.2</f>
        <v>10</v>
      </c>
      <c r="X61" s="45" t="n">
        <v>43</v>
      </c>
      <c r="Y61" s="46" t="n">
        <f aca="false">(X61/X$15)*50+50</f>
        <v>71.5</v>
      </c>
      <c r="Z61" s="46" t="n">
        <f aca="false">Y61*0.5</f>
        <v>35.75</v>
      </c>
      <c r="AA61" s="47" t="n">
        <f aca="false">SUM(Z61,W61,O61)</f>
        <v>68.25</v>
      </c>
    </row>
    <row r="62" customFormat="false" ht="15" hidden="false" customHeight="false" outlineLevel="0" collapsed="false">
      <c r="A62" s="43" t="n">
        <f aca="false">'Input Data'!B66</f>
        <v>47</v>
      </c>
      <c r="B62" s="44" t="str">
        <f aca="false">'Input Data'!C66</f>
        <v>TAGULALAC, ANDREI CHRISTOPHER RAVINA</v>
      </c>
      <c r="C62" s="45" t="n">
        <v>6</v>
      </c>
      <c r="D62" s="45"/>
      <c r="E62" s="45"/>
      <c r="F62" s="45"/>
      <c r="G62" s="45"/>
      <c r="H62" s="45"/>
      <c r="I62" s="45"/>
      <c r="J62" s="45"/>
      <c r="K62" s="45"/>
      <c r="L62" s="45"/>
      <c r="M62" s="46" t="n">
        <f aca="false">SUMIF(C62:L62,"&lt;&gt;",C62:L62)</f>
        <v>6</v>
      </c>
      <c r="N62" s="46" t="n">
        <f aca="false">(M62/M$15)*50+50</f>
        <v>80</v>
      </c>
      <c r="O62" s="48" t="n">
        <f aca="false">N62*0.3</f>
        <v>24</v>
      </c>
      <c r="P62" s="45"/>
      <c r="Q62" s="45"/>
      <c r="R62" s="45"/>
      <c r="S62" s="45"/>
      <c r="T62" s="45"/>
      <c r="U62" s="46" t="n">
        <f aca="false">SUMIF(P62:T62,"&lt;&gt;",P62:T62)</f>
        <v>0</v>
      </c>
      <c r="V62" s="46" t="n">
        <f aca="false">(U62/U$15)*50+50</f>
        <v>50</v>
      </c>
      <c r="W62" s="46" t="n">
        <f aca="false">V62*0.2</f>
        <v>10</v>
      </c>
      <c r="X62" s="45" t="n">
        <v>24</v>
      </c>
      <c r="Y62" s="46" t="n">
        <f aca="false">(X62/X$15)*50+50</f>
        <v>62</v>
      </c>
      <c r="Z62" s="46" t="n">
        <f aca="false">Y62*0.5</f>
        <v>31</v>
      </c>
      <c r="AA62" s="47" t="n">
        <f aca="false">SUM(Z62,W62,O62)</f>
        <v>65</v>
      </c>
    </row>
    <row r="63" customFormat="false" ht="15" hidden="false" customHeight="false" outlineLevel="0" collapsed="false">
      <c r="A63" s="43" t="n">
        <f aca="false">'Input Data'!B67</f>
        <v>48</v>
      </c>
      <c r="B63" s="44" t="str">
        <f aca="false">'Input Data'!C67</f>
        <v>TANAYA, KENNA ROSE DEE PERDENIA</v>
      </c>
      <c r="C63" s="45" t="n">
        <v>5</v>
      </c>
      <c r="D63" s="45"/>
      <c r="E63" s="45"/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5</v>
      </c>
      <c r="N63" s="46" t="n">
        <f aca="false">(M63/M$15)*50+50</f>
        <v>75</v>
      </c>
      <c r="O63" s="48" t="n">
        <f aca="false">N63*0.3</f>
        <v>22.5</v>
      </c>
      <c r="P63" s="45"/>
      <c r="Q63" s="45"/>
      <c r="R63" s="45"/>
      <c r="S63" s="45"/>
      <c r="T63" s="45"/>
      <c r="U63" s="46" t="n">
        <f aca="false">SUMIF(P63:T63,"&lt;&gt;",P63:T63)</f>
        <v>0</v>
      </c>
      <c r="V63" s="46" t="n">
        <f aca="false">(U63/U$15)*50+50</f>
        <v>50</v>
      </c>
      <c r="W63" s="46" t="n">
        <f aca="false">V63*0.2</f>
        <v>10</v>
      </c>
      <c r="X63" s="45" t="n">
        <v>40</v>
      </c>
      <c r="Y63" s="46" t="n">
        <f aca="false">(X63/X$15)*50+50</f>
        <v>70</v>
      </c>
      <c r="Z63" s="46" t="n">
        <f aca="false">Y63*0.5</f>
        <v>35</v>
      </c>
      <c r="AA63" s="47" t="n">
        <f aca="false">SUM(Z63,W63,O63)</f>
        <v>67.5</v>
      </c>
    </row>
    <row r="64" customFormat="false" ht="15" hidden="false" customHeight="false" outlineLevel="0" collapsed="false">
      <c r="A64" s="43" t="n">
        <f aca="false">'Input Data'!B68</f>
        <v>49</v>
      </c>
      <c r="B64" s="44" t="str">
        <f aca="false">'Input Data'!C68</f>
        <v>LAPUZ, KEN HUXLEY</v>
      </c>
      <c r="C64" s="45" t="n">
        <v>7</v>
      </c>
      <c r="D64" s="45"/>
      <c r="E64" s="45"/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7</v>
      </c>
      <c r="N64" s="46" t="n">
        <f aca="false">(M64/M$15)*50+50</f>
        <v>85</v>
      </c>
      <c r="O64" s="48" t="n">
        <f aca="false">N64*0.3</f>
        <v>25.5</v>
      </c>
      <c r="P64" s="45"/>
      <c r="Q64" s="45"/>
      <c r="R64" s="45"/>
      <c r="S64" s="45"/>
      <c r="T64" s="45"/>
      <c r="U64" s="46" t="n">
        <f aca="false">SUMIF(P64:T64,"&lt;&gt;",P64:T64)</f>
        <v>0</v>
      </c>
      <c r="V64" s="46" t="n">
        <f aca="false">(U64/U$15)*50+50</f>
        <v>50</v>
      </c>
      <c r="W64" s="46" t="n">
        <f aca="false">V64*0.2</f>
        <v>10</v>
      </c>
      <c r="X64" s="45" t="n">
        <v>28</v>
      </c>
      <c r="Y64" s="46" t="n">
        <f aca="false">(X64/X$15)*50+50</f>
        <v>64</v>
      </c>
      <c r="Z64" s="46" t="n">
        <f aca="false">Y64*0.5</f>
        <v>32</v>
      </c>
      <c r="AA64" s="47" t="n">
        <f aca="false">SUM(Z64,W64,O64)</f>
        <v>67.5</v>
      </c>
    </row>
    <row r="65" customFormat="false" ht="15" hidden="false" customHeight="false" outlineLevel="0" collapsed="false">
      <c r="A65" s="43" t="str">
        <f aca="false">'Input Data'!B69</f>
        <v/>
      </c>
      <c r="B65" s="44" t="n">
        <f aca="false">'Input Data'!C69</f>
        <v>0</v>
      </c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0</v>
      </c>
      <c r="N65" s="46" t="n">
        <f aca="false">(M65/M$15)*50+50</f>
        <v>50</v>
      </c>
      <c r="O65" s="48" t="n">
        <f aca="false">N65*0.3</f>
        <v>15</v>
      </c>
      <c r="P65" s="45"/>
      <c r="Q65" s="45"/>
      <c r="R65" s="45"/>
      <c r="S65" s="45"/>
      <c r="T65" s="45"/>
      <c r="U65" s="46" t="n">
        <f aca="false">SUMIF(P65:T65,"&lt;&gt;",P65:T65)</f>
        <v>0</v>
      </c>
      <c r="V65" s="46" t="n">
        <f aca="false">(U65/U$15)*50+50</f>
        <v>50</v>
      </c>
      <c r="W65" s="46" t="n">
        <f aca="false">V65*0.2</f>
        <v>10</v>
      </c>
      <c r="X65" s="45"/>
      <c r="Y65" s="46" t="n">
        <f aca="false">(X65/X$15)*50+50</f>
        <v>50</v>
      </c>
      <c r="Z65" s="46" t="n">
        <f aca="false">Y65*0.5</f>
        <v>25</v>
      </c>
      <c r="AA65" s="47" t="n">
        <f aca="false">SUM(Z65,W65,O65)</f>
        <v>50</v>
      </c>
    </row>
    <row r="66" customFormat="false" ht="15" hidden="false" customHeight="false" outlineLevel="0" collapsed="false">
      <c r="A66" s="43" t="str">
        <f aca="false">'Input Data'!B70</f>
        <v/>
      </c>
      <c r="B66" s="44" t="n">
        <f aca="false">'Input Data'!C70</f>
        <v>0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0</v>
      </c>
      <c r="N66" s="46" t="n">
        <f aca="false">(M66/M$15)*50+50</f>
        <v>50</v>
      </c>
      <c r="O66" s="48" t="n">
        <f aca="false">N66*0.3</f>
        <v>15</v>
      </c>
      <c r="P66" s="45"/>
      <c r="Q66" s="45"/>
      <c r="R66" s="45"/>
      <c r="S66" s="45"/>
      <c r="T66" s="45"/>
      <c r="U66" s="46" t="n">
        <f aca="false">SUMIF(P66:T66,"&lt;&gt;",P66:T66)</f>
        <v>0</v>
      </c>
      <c r="V66" s="46" t="n">
        <f aca="false">(U66/U$15)*50+50</f>
        <v>50</v>
      </c>
      <c r="W66" s="46" t="n">
        <f aca="false">V66*0.2</f>
        <v>10</v>
      </c>
      <c r="X66" s="45"/>
      <c r="Y66" s="46" t="n">
        <f aca="false">(X66/X$15)*50+50</f>
        <v>50</v>
      </c>
      <c r="Z66" s="46" t="n">
        <f aca="false">Y66*0.5</f>
        <v>25</v>
      </c>
      <c r="AA66" s="47" t="n">
        <f aca="false">SUM(Z66,W66,O66)</f>
        <v>50</v>
      </c>
    </row>
    <row r="67" customFormat="false" ht="15" hidden="false" customHeight="false" outlineLevel="0" collapsed="false">
      <c r="A67" s="43" t="str">
        <f aca="false">'Input Data'!B71</f>
        <v/>
      </c>
      <c r="B67" s="44" t="n">
        <f aca="false">'Input Data'!C71</f>
        <v>0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0</v>
      </c>
      <c r="N67" s="46" t="n">
        <f aca="false">(M67/M$15)*50+50</f>
        <v>50</v>
      </c>
      <c r="O67" s="48" t="n">
        <f aca="false">N67*0.3</f>
        <v>15</v>
      </c>
      <c r="P67" s="45"/>
      <c r="Q67" s="45"/>
      <c r="R67" s="45"/>
      <c r="S67" s="45"/>
      <c r="T67" s="45"/>
      <c r="U67" s="46" t="n">
        <f aca="false">SUMIF(P67:T67,"&lt;&gt;",P67:T67)</f>
        <v>0</v>
      </c>
      <c r="V67" s="46" t="n">
        <f aca="false">(U67/U$15)*50+50</f>
        <v>50</v>
      </c>
      <c r="W67" s="46" t="n">
        <f aca="false">V67*0.2</f>
        <v>10</v>
      </c>
      <c r="X67" s="45"/>
      <c r="Y67" s="46" t="n">
        <f aca="false">(X67/X$15)*50+50</f>
        <v>50</v>
      </c>
      <c r="Z67" s="46" t="n">
        <f aca="false">Y67*0.5</f>
        <v>25</v>
      </c>
      <c r="AA67" s="47" t="n">
        <f aca="false">SUM(Z67,W67,O67)</f>
        <v>50</v>
      </c>
    </row>
    <row r="68" customFormat="false" ht="15" hidden="false" customHeight="false" outlineLevel="0" collapsed="false">
      <c r="A68" s="43" t="str">
        <f aca="false">'Input Data'!B72</f>
        <v/>
      </c>
      <c r="B68" s="44" t="n">
        <f aca="false">'Input Data'!C72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0</v>
      </c>
      <c r="N68" s="46" t="n">
        <f aca="false">(M68/M$15)*50+50</f>
        <v>50</v>
      </c>
      <c r="O68" s="48" t="n">
        <f aca="false">N68*0.3</f>
        <v>15</v>
      </c>
      <c r="P68" s="45"/>
      <c r="Q68" s="45"/>
      <c r="R68" s="45"/>
      <c r="S68" s="45"/>
      <c r="T68" s="45"/>
      <c r="U68" s="46" t="n">
        <f aca="false">SUMIF(P68:T68,"&lt;&gt;",P68:T68)</f>
        <v>0</v>
      </c>
      <c r="V68" s="46" t="n">
        <f aca="false">(U68/U$15)*50+50</f>
        <v>50</v>
      </c>
      <c r="W68" s="46" t="n">
        <f aca="false">V68*0.2</f>
        <v>10</v>
      </c>
      <c r="X68" s="45"/>
      <c r="Y68" s="46" t="n">
        <f aca="false">(X68/X$15)*50+50</f>
        <v>50</v>
      </c>
      <c r="Z68" s="46" t="n">
        <f aca="false">Y68*0.5</f>
        <v>25</v>
      </c>
      <c r="AA68" s="47" t="n">
        <f aca="false">SUM(Z68,W68,O68)</f>
        <v>50</v>
      </c>
    </row>
    <row r="69" customFormat="false" ht="15" hidden="false" customHeight="false" outlineLevel="0" collapsed="false">
      <c r="A69" s="43" t="str">
        <f aca="false">'Input Data'!B73</f>
        <v/>
      </c>
      <c r="B69" s="44" t="n">
        <f aca="false">'Input Data'!C73</f>
        <v>0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0</v>
      </c>
      <c r="N69" s="46" t="n">
        <f aca="false">(M69/M$15)*50+50</f>
        <v>50</v>
      </c>
      <c r="O69" s="48" t="n">
        <f aca="false">N69*0.3</f>
        <v>15</v>
      </c>
      <c r="P69" s="45"/>
      <c r="Q69" s="45"/>
      <c r="R69" s="45"/>
      <c r="S69" s="45"/>
      <c r="T69" s="45"/>
      <c r="U69" s="46" t="n">
        <f aca="false">SUMIF(P69:T69,"&lt;&gt;",P69:T69)</f>
        <v>0</v>
      </c>
      <c r="V69" s="46" t="n">
        <f aca="false">(U69/U$15)*50+50</f>
        <v>50</v>
      </c>
      <c r="W69" s="46" t="n">
        <f aca="false">V69*0.2</f>
        <v>10</v>
      </c>
      <c r="X69" s="45"/>
      <c r="Y69" s="46" t="n">
        <f aca="false">(X69/X$15)*50+50</f>
        <v>50</v>
      </c>
      <c r="Z69" s="46" t="n">
        <f aca="false">Y69*0.5</f>
        <v>25</v>
      </c>
      <c r="AA69" s="47" t="n">
        <f aca="false">SUM(Z69,W69,O69)</f>
        <v>50</v>
      </c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</row>
  </sheetData>
  <sheetProtection sheet="true" formatColumns="false" formatRows="false"/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79">
    <cfRule type="cellIs" priority="2" operator="lessThan" aboveAverage="0" equalAverage="0" bottom="0" percent="0" rank="0" text="" dxfId="6">
      <formula>74.5</formula>
    </cfRule>
  </conditionalFormatting>
  <conditionalFormatting sqref="A16:AA79">
    <cfRule type="expression" priority="3" aboveAverage="0" equalAverage="0" bottom="0" percent="0" rank="0" text="" dxfId="7">
      <formula>ROW()=CELL("ROW")</formula>
    </cfRule>
    <cfRule type="expression" priority="4" aboveAverage="0" equalAverage="0" bottom="0" percent="0" rank="0" text="" dxfId="8">
      <formula>ROW()=CELL("ROW")</formula>
    </cfRule>
  </conditionalFormatting>
  <dataValidations count="16">
    <dataValidation allowBlank="true" errorStyle="stop" operator="between" showDropDown="false" showErrorMessage="true" showInputMessage="true" sqref="X16:X79" type="whole">
      <formula1>0</formula1>
      <formula2>$X$15</formula2>
    </dataValidation>
    <dataValidation allowBlank="true" errorStyle="stop" operator="between" showDropDown="false" showErrorMessage="true" showInputMessage="true" sqref="C16:C79" type="whole">
      <formula1>0</formula1>
      <formula2>$C$15</formula2>
    </dataValidation>
    <dataValidation allowBlank="true" errorStyle="stop" operator="between" showDropDown="false" showErrorMessage="true" showInputMessage="true" sqref="D16:D79" type="whole">
      <formula1>0</formula1>
      <formula2>$D$15</formula2>
    </dataValidation>
    <dataValidation allowBlank="true" errorStyle="stop" operator="between" showDropDown="false" showErrorMessage="true" showInputMessage="true" sqref="J16:J79" type="whole">
      <formula1>0</formula1>
      <formula2>$J$15</formula2>
    </dataValidation>
    <dataValidation allowBlank="true" errorStyle="stop" operator="between" showDropDown="false" showErrorMessage="true" showInputMessage="true" sqref="K16:K79" type="whole">
      <formula1>0</formula1>
      <formula2>$K$15</formula2>
    </dataValidation>
    <dataValidation allowBlank="true" errorStyle="stop" operator="between" showDropDown="false" showErrorMessage="true" showInputMessage="true" sqref="L16:L79" type="whole">
      <formula1>0</formula1>
      <formula2>$L$15</formula2>
    </dataValidation>
    <dataValidation allowBlank="true" errorStyle="stop" operator="between" showDropDown="false" showErrorMessage="true" showInputMessage="true" sqref="P16:P79" type="whole">
      <formula1>0</formula1>
      <formula2>$P$15</formula2>
    </dataValidation>
    <dataValidation allowBlank="true" errorStyle="stop" operator="between" showDropDown="false" showErrorMessage="true" showInputMessage="true" sqref="S16:S79" type="whole">
      <formula1>0</formula1>
      <formula2>$S$15</formula2>
    </dataValidation>
    <dataValidation allowBlank="true" errorStyle="stop" operator="between" showDropDown="false" showErrorMessage="true" showInputMessage="true" sqref="T16:T79" type="whole">
      <formula1>0</formula1>
      <formula2>$T$15</formula2>
    </dataValidation>
    <dataValidation allowBlank="true" errorStyle="stop" operator="between" showDropDown="false" showErrorMessage="true" showInputMessage="true" sqref="E16:E79" type="whole">
      <formula1>0</formula1>
      <formula2>$E$15</formula2>
    </dataValidation>
    <dataValidation allowBlank="true" errorStyle="stop" operator="between" showDropDown="false" showErrorMessage="true" showInputMessage="true" sqref="F16:F79" type="whole">
      <formula1>0</formula1>
      <formula2>$F$15</formula2>
    </dataValidation>
    <dataValidation allowBlank="true" errorStyle="stop" operator="between" showDropDown="false" showErrorMessage="true" showInputMessage="true" sqref="G16:G79" type="whole">
      <formula1>0</formula1>
      <formula2>$G$15</formula2>
    </dataValidation>
    <dataValidation allowBlank="true" errorStyle="stop" operator="between" showDropDown="false" showErrorMessage="true" showInputMessage="true" sqref="H16:H79" type="whole">
      <formula1>0</formula1>
      <formula2>$H$15</formula2>
    </dataValidation>
    <dataValidation allowBlank="true" errorStyle="stop" operator="between" showDropDown="false" showErrorMessage="true" showInputMessage="true" sqref="I16:I79" type="whole">
      <formula1>0</formula1>
      <formula2>$I$15</formula2>
    </dataValidation>
    <dataValidation allowBlank="true" errorStyle="stop" operator="between" showDropDown="false" showErrorMessage="true" showInputMessage="true" sqref="Q16:Q79" type="whole">
      <formula1>0</formula1>
      <formula2>$Q$15</formula2>
    </dataValidation>
    <dataValidation allowBlank="true" errorStyle="stop" operator="between" showDropDown="false" showErrorMessage="true" showInputMessage="true" sqref="R16:R79" type="whole">
      <formula1>0</formula1>
      <formula2>$R$15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B84"/>
  <sheetViews>
    <sheetView showFormulas="false" showGridLines="false" showRowColHeaders="true" showZeros="false" rightToLeft="false" tabSelected="false" showOutlineSymbols="true" defaultGridColor="true" view="normal" topLeftCell="A25" colorId="64" zoomScale="75" zoomScaleNormal="75" zoomScalePageLayoutView="100" workbookViewId="0">
      <selection pane="topLeft" activeCell="X57" activeCellId="0" sqref="X57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91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ITE 104 – Web System and Application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67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68</v>
      </c>
      <c r="Q13" s="29"/>
      <c r="R13" s="29"/>
      <c r="S13" s="29"/>
      <c r="T13" s="29"/>
      <c r="U13" s="29"/>
      <c r="V13" s="29"/>
      <c r="W13" s="29"/>
      <c r="X13" s="31" t="s">
        <v>69</v>
      </c>
      <c r="Y13" s="31"/>
      <c r="Z13" s="31"/>
      <c r="AA13" s="32" t="s">
        <v>70</v>
      </c>
    </row>
    <row r="14" customFormat="false" ht="15" hidden="false" customHeight="false" outlineLevel="0" collapsed="false">
      <c r="A14" s="33"/>
      <c r="B14" s="34"/>
      <c r="C14" s="35" t="s">
        <v>71</v>
      </c>
      <c r="D14" s="35" t="s">
        <v>72</v>
      </c>
      <c r="E14" s="35" t="s">
        <v>73</v>
      </c>
      <c r="F14" s="35" t="s">
        <v>74</v>
      </c>
      <c r="G14" s="35" t="s">
        <v>75</v>
      </c>
      <c r="H14" s="35" t="s">
        <v>76</v>
      </c>
      <c r="I14" s="35" t="s">
        <v>77</v>
      </c>
      <c r="J14" s="35" t="s">
        <v>78</v>
      </c>
      <c r="K14" s="35" t="s">
        <v>79</v>
      </c>
      <c r="L14" s="35" t="s">
        <v>80</v>
      </c>
      <c r="M14" s="35" t="s">
        <v>81</v>
      </c>
      <c r="N14" s="35" t="s">
        <v>82</v>
      </c>
      <c r="O14" s="35" t="s">
        <v>83</v>
      </c>
      <c r="P14" s="35" t="s">
        <v>84</v>
      </c>
      <c r="Q14" s="35" t="s">
        <v>85</v>
      </c>
      <c r="R14" s="35" t="s">
        <v>86</v>
      </c>
      <c r="S14" s="35" t="s">
        <v>87</v>
      </c>
      <c r="T14" s="35" t="s">
        <v>88</v>
      </c>
      <c r="U14" s="35" t="s">
        <v>81</v>
      </c>
      <c r="V14" s="35" t="s">
        <v>82</v>
      </c>
      <c r="W14" s="35" t="s">
        <v>83</v>
      </c>
      <c r="X14" s="36" t="s">
        <v>92</v>
      </c>
      <c r="Y14" s="36" t="s">
        <v>82</v>
      </c>
      <c r="Z14" s="37" t="s">
        <v>83</v>
      </c>
      <c r="AA14" s="32"/>
    </row>
    <row r="15" customFormat="false" ht="15" hidden="false" customHeight="false" outlineLevel="0" collapsed="false">
      <c r="A15" s="38"/>
      <c r="B15" s="39" t="s">
        <v>90</v>
      </c>
      <c r="C15" s="40" t="n">
        <v>10</v>
      </c>
      <c r="D15" s="40"/>
      <c r="E15" s="40"/>
      <c r="F15" s="40"/>
      <c r="G15" s="40"/>
      <c r="H15" s="40"/>
      <c r="I15" s="40"/>
      <c r="J15" s="40"/>
      <c r="K15" s="40"/>
      <c r="L15" s="40"/>
      <c r="M15" s="41" t="n">
        <f aca="false">SUMIF(C15:L15,"&lt;&gt;",C15:L15)</f>
        <v>10</v>
      </c>
      <c r="N15" s="41" t="n">
        <f aca="false">(M15/M$15)*50+50</f>
        <v>100</v>
      </c>
      <c r="O15" s="42" t="n">
        <v>0.3</v>
      </c>
      <c r="P15" s="40" t="n">
        <v>100</v>
      </c>
      <c r="Q15" s="40"/>
      <c r="R15" s="40"/>
      <c r="S15" s="40"/>
      <c r="T15" s="40"/>
      <c r="U15" s="41" t="n">
        <f aca="false">SUMIF(P15:T15,"&lt;&gt;",P15:T15)</f>
        <v>100</v>
      </c>
      <c r="V15" s="41" t="n">
        <f aca="false">(U15/U$15)*50+50</f>
        <v>100</v>
      </c>
      <c r="W15" s="42" t="n">
        <v>0.2</v>
      </c>
      <c r="X15" s="40" t="n">
        <v>100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EGCA, JOHN CRIS GAYARES</v>
      </c>
      <c r="C16" s="45" t="n">
        <v>4</v>
      </c>
      <c r="D16" s="45"/>
      <c r="E16" s="45"/>
      <c r="F16" s="45"/>
      <c r="G16" s="45"/>
      <c r="H16" s="45"/>
      <c r="I16" s="45"/>
      <c r="J16" s="45"/>
      <c r="K16" s="45"/>
      <c r="L16" s="45"/>
      <c r="M16" s="46" t="n">
        <f aca="false">SUMIF(C16:L16,"&lt;&gt;",C16:L16)</f>
        <v>4</v>
      </c>
      <c r="N16" s="46" t="n">
        <f aca="false">(M16/M$15)*50+50</f>
        <v>70</v>
      </c>
      <c r="O16" s="46" t="n">
        <f aca="false">N16*0.3</f>
        <v>21</v>
      </c>
      <c r="P16" s="45" t="n">
        <v>80</v>
      </c>
      <c r="Q16" s="45"/>
      <c r="R16" s="45"/>
      <c r="S16" s="45"/>
      <c r="T16" s="45"/>
      <c r="U16" s="46" t="n">
        <f aca="false">SUMIF(P16:T16,"&lt;&gt;",P16:T16)</f>
        <v>80</v>
      </c>
      <c r="V16" s="46" t="n">
        <f aca="false">(U16/U$15)*50+50</f>
        <v>90</v>
      </c>
      <c r="W16" s="46" t="n">
        <f aca="false">V16*0.2</f>
        <v>18</v>
      </c>
      <c r="X16" s="45" t="n">
        <v>85</v>
      </c>
      <c r="Y16" s="46" t="n">
        <f aca="false">(X16/X$15)*50+50</f>
        <v>92.5</v>
      </c>
      <c r="Z16" s="46" t="n">
        <f aca="false">Y16*0.5</f>
        <v>46.25</v>
      </c>
      <c r="AA16" s="47" t="n">
        <f aca="false">SUM(Z16,W16,O16)</f>
        <v>85.25</v>
      </c>
      <c r="AB16" s="49"/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ESCABARTE, MARK GIL PEDRAJAS</v>
      </c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0</v>
      </c>
      <c r="N17" s="46" t="n">
        <f aca="false">(M17/M$15)*50+50</f>
        <v>50</v>
      </c>
      <c r="O17" s="46" t="n">
        <f aca="false">N17*0.3</f>
        <v>15</v>
      </c>
      <c r="P17" s="45"/>
      <c r="Q17" s="45"/>
      <c r="R17" s="45"/>
      <c r="S17" s="45"/>
      <c r="T17" s="45"/>
      <c r="U17" s="46" t="n">
        <f aca="false">SUMIF(P17:T17,"&lt;&gt;",P17:T17)</f>
        <v>0</v>
      </c>
      <c r="V17" s="46" t="n">
        <f aca="false">(U17/U$15)*50+50</f>
        <v>50</v>
      </c>
      <c r="W17" s="46" t="n">
        <f aca="false">V17*0.2</f>
        <v>10</v>
      </c>
      <c r="X17" s="45"/>
      <c r="Y17" s="46" t="n">
        <f aca="false">(X17/X$15)*50+50</f>
        <v>50</v>
      </c>
      <c r="Z17" s="46" t="n">
        <f aca="false">Y17*0.5</f>
        <v>25</v>
      </c>
      <c r="AA17" s="47" t="n">
        <f aca="false">SUM(Z17,W17,O17)</f>
        <v>50</v>
      </c>
      <c r="AB17" s="49"/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ESCALANTE, BRYAN JAY SUBARDIAGA</v>
      </c>
      <c r="C18" s="45" t="n">
        <v>4</v>
      </c>
      <c r="D18" s="45"/>
      <c r="E18" s="45"/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4</v>
      </c>
      <c r="N18" s="46" t="n">
        <f aca="false">(M18/M$15)*50+50</f>
        <v>70</v>
      </c>
      <c r="O18" s="46" t="n">
        <f aca="false">N18*0.3</f>
        <v>21</v>
      </c>
      <c r="P18" s="45" t="n">
        <v>80</v>
      </c>
      <c r="Q18" s="45"/>
      <c r="R18" s="45"/>
      <c r="S18" s="45"/>
      <c r="T18" s="45"/>
      <c r="U18" s="46" t="n">
        <f aca="false">SUMIF(P18:T18,"&lt;&gt;",P18:T18)</f>
        <v>80</v>
      </c>
      <c r="V18" s="46" t="n">
        <f aca="false">(U18/U$15)*50+50</f>
        <v>90</v>
      </c>
      <c r="W18" s="46" t="n">
        <f aca="false">V18*0.2</f>
        <v>18</v>
      </c>
      <c r="X18" s="45" t="n">
        <v>85</v>
      </c>
      <c r="Y18" s="46" t="n">
        <f aca="false">(X18/X$15)*50+50</f>
        <v>92.5</v>
      </c>
      <c r="Z18" s="46" t="n">
        <f aca="false">Y18*0.5</f>
        <v>46.25</v>
      </c>
      <c r="AA18" s="47" t="n">
        <f aca="false">SUM(Z18,W18,O18)</f>
        <v>85.25</v>
      </c>
      <c r="AB18" s="49"/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ESTOYA, JILWIN JOSEPH LHIAN  PEÑFLORIDA</v>
      </c>
      <c r="C19" s="45" t="n">
        <v>4</v>
      </c>
      <c r="D19" s="45"/>
      <c r="E19" s="45"/>
      <c r="F19" s="45"/>
      <c r="G19" s="45"/>
      <c r="H19" s="45"/>
      <c r="I19" s="45"/>
      <c r="J19" s="45"/>
      <c r="K19" s="45"/>
      <c r="L19" s="45"/>
      <c r="M19" s="46" t="n">
        <f aca="false">SUMIF(C19:L19,"&lt;&gt;",C19:L19)</f>
        <v>4</v>
      </c>
      <c r="N19" s="46" t="n">
        <f aca="false">(M19/M$15)*50+50</f>
        <v>70</v>
      </c>
      <c r="O19" s="46" t="n">
        <f aca="false">N19*0.3</f>
        <v>21</v>
      </c>
      <c r="P19" s="45" t="n">
        <v>80</v>
      </c>
      <c r="Q19" s="45"/>
      <c r="R19" s="45"/>
      <c r="S19" s="45"/>
      <c r="T19" s="45"/>
      <c r="U19" s="46" t="n">
        <f aca="false">SUMIF(P19:T19,"&lt;&gt;",P19:T19)</f>
        <v>80</v>
      </c>
      <c r="V19" s="46" t="n">
        <f aca="false">(U19/U$15)*50+50</f>
        <v>90</v>
      </c>
      <c r="W19" s="46" t="n">
        <f aca="false">V19*0.2</f>
        <v>18</v>
      </c>
      <c r="X19" s="45" t="n">
        <v>85</v>
      </c>
      <c r="Y19" s="46" t="n">
        <f aca="false">(X19/X$15)*50+50</f>
        <v>92.5</v>
      </c>
      <c r="Z19" s="46" t="n">
        <f aca="false">Y19*0.5</f>
        <v>46.25</v>
      </c>
      <c r="AA19" s="47" t="n">
        <f aca="false">SUM(Z19,W19,O19)</f>
        <v>85.25</v>
      </c>
      <c r="AB19" s="49"/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FAMOSO, ALTHEA ENRIQUEZ</v>
      </c>
      <c r="C20" s="45" t="n">
        <v>4</v>
      </c>
      <c r="D20" s="45"/>
      <c r="E20" s="45"/>
      <c r="F20" s="45"/>
      <c r="G20" s="45"/>
      <c r="H20" s="45"/>
      <c r="I20" s="45"/>
      <c r="J20" s="45"/>
      <c r="K20" s="45"/>
      <c r="L20" s="45"/>
      <c r="M20" s="46" t="n">
        <f aca="false">SUMIF(C20:L20,"&lt;&gt;",C20:L20)</f>
        <v>4</v>
      </c>
      <c r="N20" s="46" t="n">
        <f aca="false">(M20/M$15)*50+50</f>
        <v>70</v>
      </c>
      <c r="O20" s="46" t="n">
        <f aca="false">N20*0.3</f>
        <v>21</v>
      </c>
      <c r="P20" s="45" t="n">
        <v>80</v>
      </c>
      <c r="Q20" s="45"/>
      <c r="R20" s="45"/>
      <c r="S20" s="45"/>
      <c r="T20" s="45"/>
      <c r="U20" s="46" t="n">
        <f aca="false">SUMIF(P20:T20,"&lt;&gt;",P20:T20)</f>
        <v>80</v>
      </c>
      <c r="V20" s="46" t="n">
        <f aca="false">(U20/U$15)*50+50</f>
        <v>90</v>
      </c>
      <c r="W20" s="46" t="n">
        <f aca="false">V20*0.2</f>
        <v>18</v>
      </c>
      <c r="X20" s="45" t="n">
        <v>85</v>
      </c>
      <c r="Y20" s="46" t="n">
        <f aca="false">(X20/X$15)*50+50</f>
        <v>92.5</v>
      </c>
      <c r="Z20" s="46" t="n">
        <f aca="false">Y20*0.5</f>
        <v>46.25</v>
      </c>
      <c r="AA20" s="47" t="n">
        <f aca="false">SUM(Z20,W20,O20)</f>
        <v>85.25</v>
      </c>
      <c r="AB20" s="49"/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FAMOSO, CARL TIA</v>
      </c>
      <c r="C21" s="45" t="n">
        <v>6</v>
      </c>
      <c r="D21" s="45"/>
      <c r="E21" s="45"/>
      <c r="F21" s="45"/>
      <c r="G21" s="45"/>
      <c r="H21" s="45"/>
      <c r="I21" s="45"/>
      <c r="J21" s="45"/>
      <c r="K21" s="45"/>
      <c r="L21" s="45"/>
      <c r="M21" s="46" t="n">
        <f aca="false">SUMIF(C21:L21,"&lt;&gt;",C21:L21)</f>
        <v>6</v>
      </c>
      <c r="N21" s="46" t="n">
        <f aca="false">(M21/M$15)*50+50</f>
        <v>80</v>
      </c>
      <c r="O21" s="46" t="n">
        <f aca="false">N21*0.3</f>
        <v>24</v>
      </c>
      <c r="P21" s="45" t="n">
        <v>88</v>
      </c>
      <c r="Q21" s="45"/>
      <c r="R21" s="45"/>
      <c r="S21" s="45"/>
      <c r="T21" s="45"/>
      <c r="U21" s="46" t="n">
        <f aca="false">SUMIF(P21:T21,"&lt;&gt;",P21:T21)</f>
        <v>88</v>
      </c>
      <c r="V21" s="46" t="n">
        <f aca="false">(U21/U$15)*50+50</f>
        <v>94</v>
      </c>
      <c r="W21" s="46" t="n">
        <f aca="false">V21*0.2</f>
        <v>18.8</v>
      </c>
      <c r="X21" s="45" t="n">
        <v>90</v>
      </c>
      <c r="Y21" s="46" t="n">
        <f aca="false">(X21/X$15)*50+50</f>
        <v>95</v>
      </c>
      <c r="Z21" s="46" t="n">
        <f aca="false">Y21*0.5</f>
        <v>47.5</v>
      </c>
      <c r="AA21" s="47" t="n">
        <f aca="false">SUM(Z21,W21,O21)</f>
        <v>90.3</v>
      </c>
      <c r="AB21" s="49"/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FAT, NERISA SALGADO</v>
      </c>
      <c r="C22" s="45" t="n">
        <v>6</v>
      </c>
      <c r="D22" s="45"/>
      <c r="E22" s="45"/>
      <c r="F22" s="45"/>
      <c r="G22" s="45"/>
      <c r="H22" s="45"/>
      <c r="I22" s="45"/>
      <c r="J22" s="45"/>
      <c r="K22" s="45"/>
      <c r="L22" s="45"/>
      <c r="M22" s="46" t="n">
        <f aca="false">SUMIF(C22:L22,"&lt;&gt;",C22:L22)</f>
        <v>6</v>
      </c>
      <c r="N22" s="46" t="n">
        <f aca="false">(M22/M$15)*50+50</f>
        <v>80</v>
      </c>
      <c r="O22" s="46" t="n">
        <f aca="false">N22*0.3</f>
        <v>24</v>
      </c>
      <c r="P22" s="45" t="n">
        <v>88</v>
      </c>
      <c r="Q22" s="45"/>
      <c r="R22" s="45"/>
      <c r="S22" s="45"/>
      <c r="T22" s="45"/>
      <c r="U22" s="46" t="n">
        <f aca="false">SUMIF(P22:T22,"&lt;&gt;",P22:T22)</f>
        <v>88</v>
      </c>
      <c r="V22" s="46" t="n">
        <f aca="false">(U22/U$15)*50+50</f>
        <v>94</v>
      </c>
      <c r="W22" s="46" t="n">
        <f aca="false">V22*0.2</f>
        <v>18.8</v>
      </c>
      <c r="X22" s="45" t="n">
        <v>90</v>
      </c>
      <c r="Y22" s="46" t="n">
        <f aca="false">(X22/X$15)*50+50</f>
        <v>95</v>
      </c>
      <c r="Z22" s="46" t="n">
        <f aca="false">Y22*0.5</f>
        <v>47.5</v>
      </c>
      <c r="AA22" s="47" t="n">
        <f aca="false">SUM(Z22,W22,O22)</f>
        <v>90.3</v>
      </c>
      <c r="AB22" s="49"/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FERNANDEZ, CHRISTOPHER LIMOTAO</v>
      </c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6" t="n">
        <f aca="false">SUMIF(C23:L23,"&lt;&gt;",C23:L23)</f>
        <v>0</v>
      </c>
      <c r="N23" s="46" t="n">
        <f aca="false">(M23/M$15)*50+50</f>
        <v>50</v>
      </c>
      <c r="O23" s="46" t="n">
        <f aca="false">N23*0.3</f>
        <v>15</v>
      </c>
      <c r="P23" s="45"/>
      <c r="Q23" s="45"/>
      <c r="R23" s="45"/>
      <c r="S23" s="45"/>
      <c r="T23" s="45"/>
      <c r="U23" s="46" t="n">
        <f aca="false">SUMIF(P23:T23,"&lt;&gt;",P23:T23)</f>
        <v>0</v>
      </c>
      <c r="V23" s="46" t="n">
        <f aca="false">(U23/U$15)*50+50</f>
        <v>50</v>
      </c>
      <c r="W23" s="46" t="n">
        <f aca="false">V23*0.2</f>
        <v>10</v>
      </c>
      <c r="X23" s="45"/>
      <c r="Y23" s="46" t="n">
        <f aca="false">(X23/X$15)*50+50</f>
        <v>50</v>
      </c>
      <c r="Z23" s="46" t="n">
        <f aca="false">Y23*0.5</f>
        <v>25</v>
      </c>
      <c r="AA23" s="47" t="n">
        <f aca="false">SUM(Z23,W23,O23)</f>
        <v>50</v>
      </c>
      <c r="AB23" s="49"/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FERNANDEZ, PENNY LANE TALANQUINES</v>
      </c>
      <c r="C24" s="45" t="n">
        <v>6</v>
      </c>
      <c r="D24" s="45"/>
      <c r="E24" s="45"/>
      <c r="F24" s="45"/>
      <c r="G24" s="45"/>
      <c r="H24" s="45"/>
      <c r="I24" s="45"/>
      <c r="J24" s="45"/>
      <c r="K24" s="45"/>
      <c r="L24" s="45"/>
      <c r="M24" s="46" t="n">
        <f aca="false">SUMIF(C24:L24,"&lt;&gt;",C24:L24)</f>
        <v>6</v>
      </c>
      <c r="N24" s="46" t="n">
        <f aca="false">(M24/M$15)*50+50</f>
        <v>80</v>
      </c>
      <c r="O24" s="46" t="n">
        <f aca="false">N24*0.3</f>
        <v>24</v>
      </c>
      <c r="P24" s="45" t="n">
        <v>88</v>
      </c>
      <c r="Q24" s="45"/>
      <c r="R24" s="45"/>
      <c r="S24" s="45"/>
      <c r="T24" s="45"/>
      <c r="U24" s="46" t="n">
        <f aca="false">SUMIF(P24:T24,"&lt;&gt;",P24:T24)</f>
        <v>88</v>
      </c>
      <c r="V24" s="46" t="n">
        <f aca="false">(U24/U$15)*50+50</f>
        <v>94</v>
      </c>
      <c r="W24" s="46" t="n">
        <f aca="false">V24*0.2</f>
        <v>18.8</v>
      </c>
      <c r="X24" s="45" t="n">
        <v>90</v>
      </c>
      <c r="Y24" s="46" t="n">
        <f aca="false">(X24/X$15)*50+50</f>
        <v>95</v>
      </c>
      <c r="Z24" s="46" t="n">
        <f aca="false">Y24*0.5</f>
        <v>47.5</v>
      </c>
      <c r="AA24" s="47" t="n">
        <f aca="false">SUM(Z24,W24,O24)</f>
        <v>90.3</v>
      </c>
      <c r="AB24" s="49"/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FERNANDEZ, WENDELYN VALDEVIEZO</v>
      </c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6" t="n">
        <f aca="false">SUMIF(C25:L25,"&lt;&gt;",C25:L25)</f>
        <v>0</v>
      </c>
      <c r="N25" s="46" t="n">
        <f aca="false">(M25/M$15)*50+50</f>
        <v>50</v>
      </c>
      <c r="O25" s="46" t="n">
        <f aca="false">N25*0.3</f>
        <v>15</v>
      </c>
      <c r="P25" s="45"/>
      <c r="Q25" s="45"/>
      <c r="R25" s="45"/>
      <c r="S25" s="45"/>
      <c r="T25" s="45"/>
      <c r="U25" s="46" t="n">
        <f aca="false">SUMIF(P25:T25,"&lt;&gt;",P25:T25)</f>
        <v>0</v>
      </c>
      <c r="V25" s="46" t="n">
        <f aca="false">(U25/U$15)*50+50</f>
        <v>50</v>
      </c>
      <c r="W25" s="46" t="n">
        <f aca="false">V25*0.2</f>
        <v>10</v>
      </c>
      <c r="X25" s="45"/>
      <c r="Y25" s="46" t="n">
        <f aca="false">(X25/X$15)*50+50</f>
        <v>50</v>
      </c>
      <c r="Z25" s="46" t="n">
        <f aca="false">Y25*0.5</f>
        <v>25</v>
      </c>
      <c r="AA25" s="47" t="n">
        <f aca="false">SUM(Z25,W25,O25)</f>
        <v>50</v>
      </c>
      <c r="AB25" s="49"/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FLORES, YL JOHN MAHINAY</v>
      </c>
      <c r="C26" s="45" t="n">
        <v>6</v>
      </c>
      <c r="D26" s="45"/>
      <c r="E26" s="45"/>
      <c r="F26" s="45"/>
      <c r="G26" s="45"/>
      <c r="H26" s="45"/>
      <c r="I26" s="45"/>
      <c r="J26" s="45"/>
      <c r="K26" s="45"/>
      <c r="L26" s="45"/>
      <c r="M26" s="46" t="n">
        <f aca="false">SUMIF(C26:L26,"&lt;&gt;",C26:L26)</f>
        <v>6</v>
      </c>
      <c r="N26" s="46" t="n">
        <f aca="false">(M26/M$15)*50+50</f>
        <v>80</v>
      </c>
      <c r="O26" s="46" t="n">
        <f aca="false">N26*0.3</f>
        <v>24</v>
      </c>
      <c r="P26" s="45" t="n">
        <v>88</v>
      </c>
      <c r="Q26" s="45"/>
      <c r="R26" s="45"/>
      <c r="S26" s="45"/>
      <c r="T26" s="45"/>
      <c r="U26" s="46" t="n">
        <f aca="false">SUMIF(P26:T26,"&lt;&gt;",P26:T26)</f>
        <v>88</v>
      </c>
      <c r="V26" s="46" t="n">
        <f aca="false">(U26/U$15)*50+50</f>
        <v>94</v>
      </c>
      <c r="W26" s="46" t="n">
        <f aca="false">V26*0.2</f>
        <v>18.8</v>
      </c>
      <c r="X26" s="45" t="n">
        <v>90</v>
      </c>
      <c r="Y26" s="46" t="n">
        <f aca="false">(X26/X$15)*50+50</f>
        <v>95</v>
      </c>
      <c r="Z26" s="46" t="n">
        <f aca="false">Y26*0.5</f>
        <v>47.5</v>
      </c>
      <c r="AA26" s="47" t="n">
        <f aca="false">SUM(Z26,W26,O26)</f>
        <v>90.3</v>
      </c>
      <c r="AB26" s="49"/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GAJO, JAYVEN KIM AMPARO</v>
      </c>
      <c r="C27" s="45" t="n">
        <v>4</v>
      </c>
      <c r="D27" s="45"/>
      <c r="E27" s="45"/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4</v>
      </c>
      <c r="N27" s="46" t="n">
        <f aca="false">(M27/M$15)*50+50</f>
        <v>70</v>
      </c>
      <c r="O27" s="46" t="n">
        <f aca="false">N27*0.3</f>
        <v>21</v>
      </c>
      <c r="P27" s="45" t="n">
        <v>80</v>
      </c>
      <c r="Q27" s="45"/>
      <c r="R27" s="45"/>
      <c r="S27" s="45"/>
      <c r="T27" s="45"/>
      <c r="U27" s="46" t="n">
        <f aca="false">SUMIF(P27:T27,"&lt;&gt;",P27:T27)</f>
        <v>80</v>
      </c>
      <c r="V27" s="46" t="n">
        <f aca="false">(U27/U$15)*50+50</f>
        <v>90</v>
      </c>
      <c r="W27" s="46" t="n">
        <f aca="false">V27*0.2</f>
        <v>18</v>
      </c>
      <c r="X27" s="45" t="n">
        <v>85</v>
      </c>
      <c r="Y27" s="46" t="n">
        <f aca="false">(X27/X$15)*50+50</f>
        <v>92.5</v>
      </c>
      <c r="Z27" s="46" t="n">
        <f aca="false">Y27*0.5</f>
        <v>46.25</v>
      </c>
      <c r="AA27" s="47" t="n">
        <f aca="false">SUM(Z27,W27,O27)</f>
        <v>85.25</v>
      </c>
      <c r="AB27" s="49"/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GARANZO, LANCE GABRIEL CORDOVA</v>
      </c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6" t="n">
        <f aca="false">SUMIF(C28:L28,"&lt;&gt;",C28:L28)</f>
        <v>0</v>
      </c>
      <c r="N28" s="46" t="n">
        <f aca="false">(M28/M$15)*50+50</f>
        <v>50</v>
      </c>
      <c r="O28" s="46" t="n">
        <f aca="false">N28*0.3</f>
        <v>15</v>
      </c>
      <c r="P28" s="45"/>
      <c r="Q28" s="45"/>
      <c r="R28" s="45"/>
      <c r="S28" s="45"/>
      <c r="T28" s="45"/>
      <c r="U28" s="46" t="n">
        <f aca="false">SUMIF(P28:T28,"&lt;&gt;",P28:T28)</f>
        <v>0</v>
      </c>
      <c r="V28" s="46" t="n">
        <f aca="false">(U28/U$15)*50+50</f>
        <v>50</v>
      </c>
      <c r="W28" s="46" t="n">
        <f aca="false">V28*0.2</f>
        <v>10</v>
      </c>
      <c r="X28" s="45"/>
      <c r="Y28" s="46" t="n">
        <f aca="false">(X28/X$15)*50+50</f>
        <v>50</v>
      </c>
      <c r="Z28" s="46" t="n">
        <f aca="false">Y28*0.5</f>
        <v>25</v>
      </c>
      <c r="AA28" s="47" t="n">
        <f aca="false">SUM(Z28,W28,O28)</f>
        <v>50</v>
      </c>
      <c r="AB28" s="49"/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GARGANTA, RICHARD ACABO</v>
      </c>
      <c r="C29" s="45" t="n">
        <v>6</v>
      </c>
      <c r="D29" s="45"/>
      <c r="E29" s="45"/>
      <c r="F29" s="45"/>
      <c r="G29" s="45"/>
      <c r="H29" s="45"/>
      <c r="I29" s="45"/>
      <c r="J29" s="45"/>
      <c r="K29" s="45"/>
      <c r="L29" s="45"/>
      <c r="M29" s="46" t="n">
        <f aca="false">SUMIF(C29:L29,"&lt;&gt;",C29:L29)</f>
        <v>6</v>
      </c>
      <c r="N29" s="46" t="n">
        <f aca="false">(M29/M$15)*50+50</f>
        <v>80</v>
      </c>
      <c r="O29" s="46" t="n">
        <f aca="false">N29*0.3</f>
        <v>24</v>
      </c>
      <c r="P29" s="45" t="n">
        <v>88</v>
      </c>
      <c r="Q29" s="45"/>
      <c r="R29" s="45"/>
      <c r="S29" s="45"/>
      <c r="T29" s="45"/>
      <c r="U29" s="46" t="n">
        <f aca="false">SUMIF(P29:T29,"&lt;&gt;",P29:T29)</f>
        <v>88</v>
      </c>
      <c r="V29" s="46" t="n">
        <f aca="false">(U29/U$15)*50+50</f>
        <v>94</v>
      </c>
      <c r="W29" s="46" t="n">
        <f aca="false">V29*0.2</f>
        <v>18.8</v>
      </c>
      <c r="X29" s="45" t="n">
        <v>90</v>
      </c>
      <c r="Y29" s="46" t="n">
        <f aca="false">(X29/X$15)*50+50</f>
        <v>95</v>
      </c>
      <c r="Z29" s="46" t="n">
        <f aca="false">Y29*0.5</f>
        <v>47.5</v>
      </c>
      <c r="AA29" s="47" t="n">
        <f aca="false">SUM(Z29,W29,O29)</f>
        <v>90.3</v>
      </c>
      <c r="AB29" s="49"/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GARIANDO, JUSTIN KIM CORREJADO</v>
      </c>
      <c r="C30" s="45" t="n">
        <v>5</v>
      </c>
      <c r="D30" s="45"/>
      <c r="E30" s="45"/>
      <c r="F30" s="45"/>
      <c r="G30" s="45"/>
      <c r="H30" s="45"/>
      <c r="I30" s="45"/>
      <c r="J30" s="45"/>
      <c r="K30" s="45"/>
      <c r="L30" s="45"/>
      <c r="M30" s="46" t="n">
        <f aca="false">SUMIF(C30:L30,"&lt;&gt;",C30:L30)</f>
        <v>5</v>
      </c>
      <c r="N30" s="46" t="n">
        <f aca="false">(M30/M$15)*50+50</f>
        <v>75</v>
      </c>
      <c r="O30" s="46" t="n">
        <f aca="false">N30*0.3</f>
        <v>22.5</v>
      </c>
      <c r="P30" s="45" t="n">
        <v>88</v>
      </c>
      <c r="Q30" s="45"/>
      <c r="R30" s="45"/>
      <c r="S30" s="45"/>
      <c r="T30" s="45"/>
      <c r="U30" s="46" t="n">
        <f aca="false">SUMIF(P30:T30,"&lt;&gt;",P30:T30)</f>
        <v>88</v>
      </c>
      <c r="V30" s="46" t="n">
        <f aca="false">(U30/U$15)*50+50</f>
        <v>94</v>
      </c>
      <c r="W30" s="46" t="n">
        <f aca="false">V30*0.2</f>
        <v>18.8</v>
      </c>
      <c r="X30" s="45" t="n">
        <v>88</v>
      </c>
      <c r="Y30" s="46" t="n">
        <f aca="false">(X30/X$15)*50+50</f>
        <v>94</v>
      </c>
      <c r="Z30" s="46" t="n">
        <f aca="false">Y30*0.5</f>
        <v>47</v>
      </c>
      <c r="AA30" s="47" t="n">
        <f aca="false">SUM(Z30,W30,O30)</f>
        <v>88.3</v>
      </c>
      <c r="AB30" s="49"/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GARSOLAO, IVY MARIE ALICAYA</v>
      </c>
      <c r="C31" s="45" t="n">
        <v>6</v>
      </c>
      <c r="D31" s="45"/>
      <c r="E31" s="45"/>
      <c r="F31" s="45"/>
      <c r="G31" s="45"/>
      <c r="H31" s="45"/>
      <c r="I31" s="45"/>
      <c r="J31" s="45"/>
      <c r="K31" s="45"/>
      <c r="L31" s="45"/>
      <c r="M31" s="46" t="n">
        <f aca="false">SUMIF(C31:L31,"&lt;&gt;",C31:L31)</f>
        <v>6</v>
      </c>
      <c r="N31" s="46" t="n">
        <f aca="false">(M31/M$15)*50+50</f>
        <v>80</v>
      </c>
      <c r="O31" s="46" t="n">
        <f aca="false">N31*0.3</f>
        <v>24</v>
      </c>
      <c r="P31" s="45" t="n">
        <v>88</v>
      </c>
      <c r="Q31" s="45"/>
      <c r="R31" s="45"/>
      <c r="S31" s="45"/>
      <c r="T31" s="45"/>
      <c r="U31" s="46" t="n">
        <f aca="false">SUMIF(P31:T31,"&lt;&gt;",P31:T31)</f>
        <v>88</v>
      </c>
      <c r="V31" s="46" t="n">
        <f aca="false">(U31/U$15)*50+50</f>
        <v>94</v>
      </c>
      <c r="W31" s="46" t="n">
        <f aca="false">V31*0.2</f>
        <v>18.8</v>
      </c>
      <c r="X31" s="45" t="n">
        <v>90</v>
      </c>
      <c r="Y31" s="46" t="n">
        <f aca="false">(X31/X$15)*50+50</f>
        <v>95</v>
      </c>
      <c r="Z31" s="46" t="n">
        <f aca="false">Y31*0.5</f>
        <v>47.5</v>
      </c>
      <c r="AA31" s="47" t="n">
        <f aca="false">SUM(Z31,W31,O31)</f>
        <v>90.3</v>
      </c>
      <c r="AB31" s="49"/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GASATAYA, RICO TALABAN</v>
      </c>
      <c r="C32" s="45" t="n">
        <v>6</v>
      </c>
      <c r="D32" s="45"/>
      <c r="E32" s="45"/>
      <c r="F32" s="45"/>
      <c r="G32" s="45"/>
      <c r="H32" s="45"/>
      <c r="I32" s="45"/>
      <c r="J32" s="45"/>
      <c r="K32" s="45"/>
      <c r="L32" s="45"/>
      <c r="M32" s="46" t="n">
        <f aca="false">SUMIF(C32:L32,"&lt;&gt;",C32:L32)</f>
        <v>6</v>
      </c>
      <c r="N32" s="46" t="n">
        <f aca="false">(M32/M$15)*50+50</f>
        <v>80</v>
      </c>
      <c r="O32" s="46" t="n">
        <f aca="false">N32*0.3</f>
        <v>24</v>
      </c>
      <c r="P32" s="45" t="n">
        <v>88</v>
      </c>
      <c r="Q32" s="45"/>
      <c r="R32" s="45"/>
      <c r="S32" s="45"/>
      <c r="T32" s="45"/>
      <c r="U32" s="46" t="n">
        <f aca="false">SUMIF(P32:T32,"&lt;&gt;",P32:T32)</f>
        <v>88</v>
      </c>
      <c r="V32" s="46" t="n">
        <f aca="false">(U32/U$15)*50+50</f>
        <v>94</v>
      </c>
      <c r="W32" s="46" t="n">
        <f aca="false">V32*0.2</f>
        <v>18.8</v>
      </c>
      <c r="X32" s="45" t="n">
        <v>90</v>
      </c>
      <c r="Y32" s="46" t="n">
        <f aca="false">(X32/X$15)*50+50</f>
        <v>95</v>
      </c>
      <c r="Z32" s="46" t="n">
        <f aca="false">Y32*0.5</f>
        <v>47.5</v>
      </c>
      <c r="AA32" s="47" t="n">
        <f aca="false">SUM(Z32,W32,O32)</f>
        <v>90.3</v>
      </c>
      <c r="AB32" s="49"/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GELBA, ABEGAIL VENUS</v>
      </c>
      <c r="C33" s="45" t="n">
        <v>5</v>
      </c>
      <c r="D33" s="45"/>
      <c r="E33" s="45"/>
      <c r="F33" s="45"/>
      <c r="G33" s="45"/>
      <c r="H33" s="45"/>
      <c r="I33" s="45"/>
      <c r="J33" s="45"/>
      <c r="K33" s="45"/>
      <c r="L33" s="45"/>
      <c r="M33" s="46" t="n">
        <f aca="false">SUMIF(C33:L33,"&lt;&gt;",C33:L33)</f>
        <v>5</v>
      </c>
      <c r="N33" s="46" t="n">
        <f aca="false">(M33/M$15)*50+50</f>
        <v>75</v>
      </c>
      <c r="O33" s="46" t="n">
        <f aca="false">N33*0.3</f>
        <v>22.5</v>
      </c>
      <c r="P33" s="45" t="n">
        <v>88</v>
      </c>
      <c r="Q33" s="45"/>
      <c r="R33" s="45"/>
      <c r="S33" s="45"/>
      <c r="T33" s="45"/>
      <c r="U33" s="46" t="n">
        <f aca="false">SUMIF(P33:T33,"&lt;&gt;",P33:T33)</f>
        <v>88</v>
      </c>
      <c r="V33" s="46" t="n">
        <f aca="false">(U33/U$15)*50+50</f>
        <v>94</v>
      </c>
      <c r="W33" s="46" t="n">
        <f aca="false">V33*0.2</f>
        <v>18.8</v>
      </c>
      <c r="X33" s="45" t="n">
        <v>88</v>
      </c>
      <c r="Y33" s="46" t="n">
        <f aca="false">(X33/X$15)*50+50</f>
        <v>94</v>
      </c>
      <c r="Z33" s="46" t="n">
        <f aca="false">Y33*0.5</f>
        <v>47</v>
      </c>
      <c r="AA33" s="47" t="n">
        <f aca="false">SUM(Z33,W33,O33)</f>
        <v>88.3</v>
      </c>
      <c r="AB33" s="49"/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GENGOS, JUN APOSTOL</v>
      </c>
      <c r="C34" s="45" t="n">
        <v>4</v>
      </c>
      <c r="D34" s="45"/>
      <c r="E34" s="45"/>
      <c r="F34" s="45"/>
      <c r="G34" s="45"/>
      <c r="H34" s="45"/>
      <c r="I34" s="45"/>
      <c r="J34" s="45"/>
      <c r="K34" s="45"/>
      <c r="L34" s="45"/>
      <c r="M34" s="46" t="n">
        <f aca="false">SUMIF(C34:L34,"&lt;&gt;",C34:L34)</f>
        <v>4</v>
      </c>
      <c r="N34" s="46" t="n">
        <f aca="false">(M34/M$15)*50+50</f>
        <v>70</v>
      </c>
      <c r="O34" s="46" t="n">
        <f aca="false">N34*0.3</f>
        <v>21</v>
      </c>
      <c r="P34" s="45" t="n">
        <v>80</v>
      </c>
      <c r="Q34" s="45"/>
      <c r="R34" s="45"/>
      <c r="S34" s="45"/>
      <c r="T34" s="45"/>
      <c r="U34" s="46" t="n">
        <f aca="false">SUMIF(P34:T34,"&lt;&gt;",P34:T34)</f>
        <v>80</v>
      </c>
      <c r="V34" s="46" t="n">
        <f aca="false">(U34/U$15)*50+50</f>
        <v>90</v>
      </c>
      <c r="W34" s="46" t="n">
        <f aca="false">V34*0.2</f>
        <v>18</v>
      </c>
      <c r="X34" s="45" t="n">
        <v>85</v>
      </c>
      <c r="Y34" s="46" t="n">
        <f aca="false">(X34/X$15)*50+50</f>
        <v>92.5</v>
      </c>
      <c r="Z34" s="46" t="n">
        <f aca="false">Y34*0.5</f>
        <v>46.25</v>
      </c>
      <c r="AA34" s="47" t="n">
        <f aca="false">SUM(Z34,W34,O34)</f>
        <v>85.25</v>
      </c>
      <c r="AB34" s="49"/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GENOVA, JAMES DELA CRUZ</v>
      </c>
      <c r="C35" s="45" t="n">
        <v>1</v>
      </c>
      <c r="D35" s="45"/>
      <c r="E35" s="45"/>
      <c r="F35" s="45"/>
      <c r="G35" s="45"/>
      <c r="H35" s="45"/>
      <c r="I35" s="45"/>
      <c r="J35" s="45"/>
      <c r="K35" s="45"/>
      <c r="L35" s="45"/>
      <c r="M35" s="46" t="n">
        <f aca="false">SUMIF(C35:L35,"&lt;&gt;",C35:L35)</f>
        <v>1</v>
      </c>
      <c r="N35" s="46" t="n">
        <f aca="false">(M35/M$15)*50+50</f>
        <v>55</v>
      </c>
      <c r="O35" s="46" t="n">
        <f aca="false">N35*0.3</f>
        <v>16.5</v>
      </c>
      <c r="P35" s="45" t="n">
        <v>80</v>
      </c>
      <c r="Q35" s="45"/>
      <c r="R35" s="45"/>
      <c r="S35" s="45"/>
      <c r="T35" s="45"/>
      <c r="U35" s="46" t="n">
        <f aca="false">SUMIF(P35:T35,"&lt;&gt;",P35:T35)</f>
        <v>80</v>
      </c>
      <c r="V35" s="46" t="n">
        <f aca="false">(U35/U$15)*50+50</f>
        <v>90</v>
      </c>
      <c r="W35" s="46" t="n">
        <f aca="false">V35*0.2</f>
        <v>18</v>
      </c>
      <c r="X35" s="45" t="n">
        <v>80</v>
      </c>
      <c r="Y35" s="46" t="n">
        <f aca="false">(X35/X$15)*50+50</f>
        <v>90</v>
      </c>
      <c r="Z35" s="46" t="n">
        <f aca="false">Y35*0.5</f>
        <v>45</v>
      </c>
      <c r="AA35" s="47" t="n">
        <f aca="false">SUM(Z35,W35,O35)</f>
        <v>79.5</v>
      </c>
      <c r="AB35" s="49"/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GEPULANI, JESSA MAE CALUBAQUIT</v>
      </c>
      <c r="C36" s="45" t="n">
        <v>6</v>
      </c>
      <c r="D36" s="45"/>
      <c r="E36" s="45"/>
      <c r="F36" s="45"/>
      <c r="G36" s="45"/>
      <c r="H36" s="45"/>
      <c r="I36" s="45"/>
      <c r="J36" s="45"/>
      <c r="K36" s="45"/>
      <c r="L36" s="45"/>
      <c r="M36" s="46" t="n">
        <f aca="false">SUMIF(C36:L36,"&lt;&gt;",C36:L36)</f>
        <v>6</v>
      </c>
      <c r="N36" s="46" t="n">
        <f aca="false">(M36/M$15)*50+50</f>
        <v>80</v>
      </c>
      <c r="O36" s="46" t="n">
        <f aca="false">N36*0.3</f>
        <v>24</v>
      </c>
      <c r="P36" s="45" t="n">
        <v>88</v>
      </c>
      <c r="Q36" s="45"/>
      <c r="R36" s="45"/>
      <c r="S36" s="45"/>
      <c r="T36" s="45"/>
      <c r="U36" s="46" t="n">
        <f aca="false">SUMIF(P36:T36,"&lt;&gt;",P36:T36)</f>
        <v>88</v>
      </c>
      <c r="V36" s="46" t="n">
        <f aca="false">(U36/U$15)*50+50</f>
        <v>94</v>
      </c>
      <c r="W36" s="46" t="n">
        <f aca="false">V36*0.2</f>
        <v>18.8</v>
      </c>
      <c r="X36" s="45" t="n">
        <v>90</v>
      </c>
      <c r="Y36" s="46" t="n">
        <f aca="false">(X36/X$15)*50+50</f>
        <v>95</v>
      </c>
      <c r="Z36" s="46" t="n">
        <f aca="false">Y36*0.5</f>
        <v>47.5</v>
      </c>
      <c r="AA36" s="47" t="n">
        <f aca="false">SUM(Z36,W36,O36)</f>
        <v>90.3</v>
      </c>
      <c r="AB36" s="49"/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GERALDOY, PRECIOUS MARIE BAT-OG</v>
      </c>
      <c r="C37" s="45" t="n">
        <v>6</v>
      </c>
      <c r="D37" s="45"/>
      <c r="E37" s="45"/>
      <c r="F37" s="45"/>
      <c r="G37" s="45"/>
      <c r="H37" s="45"/>
      <c r="I37" s="45"/>
      <c r="J37" s="45"/>
      <c r="K37" s="45"/>
      <c r="L37" s="45"/>
      <c r="M37" s="46" t="n">
        <f aca="false">SUMIF(C37:L37,"&lt;&gt;",C37:L37)</f>
        <v>6</v>
      </c>
      <c r="N37" s="46" t="n">
        <f aca="false">(M37/M$15)*50+50</f>
        <v>80</v>
      </c>
      <c r="O37" s="46" t="n">
        <f aca="false">N37*0.3</f>
        <v>24</v>
      </c>
      <c r="P37" s="45" t="n">
        <v>88</v>
      </c>
      <c r="Q37" s="45"/>
      <c r="R37" s="45"/>
      <c r="S37" s="45"/>
      <c r="T37" s="45"/>
      <c r="U37" s="46" t="n">
        <f aca="false">SUMIF(P37:T37,"&lt;&gt;",P37:T37)</f>
        <v>88</v>
      </c>
      <c r="V37" s="46" t="n">
        <f aca="false">(U37/U$15)*50+50</f>
        <v>94</v>
      </c>
      <c r="W37" s="46" t="n">
        <f aca="false">V37*0.2</f>
        <v>18.8</v>
      </c>
      <c r="X37" s="45" t="n">
        <v>90</v>
      </c>
      <c r="Y37" s="46" t="n">
        <f aca="false">(X37/X$15)*50+50</f>
        <v>95</v>
      </c>
      <c r="Z37" s="46" t="n">
        <f aca="false">Y37*0.5</f>
        <v>47.5</v>
      </c>
      <c r="AA37" s="47" t="n">
        <f aca="false">SUM(Z37,W37,O37)</f>
        <v>90.3</v>
      </c>
      <c r="AB37" s="49"/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GESTUPA, STEPHINE NICKLE COLIMBO</v>
      </c>
      <c r="C38" s="45" t="n">
        <v>1</v>
      </c>
      <c r="D38" s="45"/>
      <c r="E38" s="45"/>
      <c r="F38" s="45"/>
      <c r="G38" s="45"/>
      <c r="H38" s="45"/>
      <c r="I38" s="45"/>
      <c r="J38" s="45"/>
      <c r="K38" s="45"/>
      <c r="L38" s="45"/>
      <c r="M38" s="46" t="n">
        <f aca="false">SUMIF(C38:L38,"&lt;&gt;",C38:L38)</f>
        <v>1</v>
      </c>
      <c r="N38" s="46" t="n">
        <f aca="false">(M38/M$15)*50+50</f>
        <v>55</v>
      </c>
      <c r="O38" s="46" t="n">
        <f aca="false">N38*0.3</f>
        <v>16.5</v>
      </c>
      <c r="P38" s="45" t="n">
        <v>80</v>
      </c>
      <c r="Q38" s="45"/>
      <c r="R38" s="45"/>
      <c r="S38" s="45"/>
      <c r="T38" s="45"/>
      <c r="U38" s="46" t="n">
        <f aca="false">SUMIF(P38:T38,"&lt;&gt;",P38:T38)</f>
        <v>80</v>
      </c>
      <c r="V38" s="46" t="n">
        <f aca="false">(U38/U$15)*50+50</f>
        <v>90</v>
      </c>
      <c r="W38" s="46" t="n">
        <f aca="false">V38*0.2</f>
        <v>18</v>
      </c>
      <c r="X38" s="45" t="n">
        <v>80</v>
      </c>
      <c r="Y38" s="46" t="n">
        <f aca="false">(X38/X$15)*50+50</f>
        <v>90</v>
      </c>
      <c r="Z38" s="46" t="n">
        <f aca="false">Y38*0.5</f>
        <v>45</v>
      </c>
      <c r="AA38" s="47" t="n">
        <f aca="false">SUM(Z38,W38,O38)</f>
        <v>79.5</v>
      </c>
      <c r="AB38" s="49"/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GILGON, ABEGAIL PELARA</v>
      </c>
      <c r="C39" s="45" t="n">
        <v>5</v>
      </c>
      <c r="D39" s="45"/>
      <c r="E39" s="45"/>
      <c r="F39" s="45"/>
      <c r="G39" s="45"/>
      <c r="H39" s="45"/>
      <c r="I39" s="45"/>
      <c r="J39" s="45"/>
      <c r="K39" s="45"/>
      <c r="L39" s="45"/>
      <c r="M39" s="46" t="n">
        <f aca="false">SUMIF(C39:L39,"&lt;&gt;",C39:L39)</f>
        <v>5</v>
      </c>
      <c r="N39" s="46" t="n">
        <f aca="false">(M39/M$15)*50+50</f>
        <v>75</v>
      </c>
      <c r="O39" s="46" t="n">
        <f aca="false">N39*0.3</f>
        <v>22.5</v>
      </c>
      <c r="P39" s="45" t="n">
        <v>88</v>
      </c>
      <c r="Q39" s="45"/>
      <c r="R39" s="45"/>
      <c r="S39" s="45"/>
      <c r="T39" s="45"/>
      <c r="U39" s="46" t="n">
        <f aca="false">SUMIF(P39:T39,"&lt;&gt;",P39:T39)</f>
        <v>88</v>
      </c>
      <c r="V39" s="46" t="n">
        <f aca="false">(U39/U$15)*50+50</f>
        <v>94</v>
      </c>
      <c r="W39" s="46" t="n">
        <f aca="false">V39*0.2</f>
        <v>18.8</v>
      </c>
      <c r="X39" s="45" t="n">
        <v>88</v>
      </c>
      <c r="Y39" s="46" t="n">
        <f aca="false">(X39/X$15)*50+50</f>
        <v>94</v>
      </c>
      <c r="Z39" s="46" t="n">
        <f aca="false">Y39*0.5</f>
        <v>47</v>
      </c>
      <c r="AA39" s="47" t="n">
        <f aca="false">SUM(Z39,W39,O39)</f>
        <v>88.3</v>
      </c>
      <c r="AB39" s="49"/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GITALAN, JOHN MARK GRANFIEL</v>
      </c>
      <c r="C40" s="45" t="n">
        <v>6</v>
      </c>
      <c r="D40" s="45"/>
      <c r="E40" s="45"/>
      <c r="F40" s="45"/>
      <c r="G40" s="45"/>
      <c r="H40" s="45"/>
      <c r="I40" s="45"/>
      <c r="J40" s="45"/>
      <c r="K40" s="45"/>
      <c r="L40" s="45"/>
      <c r="M40" s="46" t="n">
        <f aca="false">SUMIF(C40:L40,"&lt;&gt;",C40:L40)</f>
        <v>6</v>
      </c>
      <c r="N40" s="46" t="n">
        <f aca="false">(M40/M$15)*50+50</f>
        <v>80</v>
      </c>
      <c r="O40" s="46" t="n">
        <f aca="false">N40*0.3</f>
        <v>24</v>
      </c>
      <c r="P40" s="45" t="n">
        <v>88</v>
      </c>
      <c r="Q40" s="45"/>
      <c r="R40" s="45"/>
      <c r="S40" s="45"/>
      <c r="T40" s="45"/>
      <c r="U40" s="46" t="n">
        <f aca="false">SUMIF(P40:T40,"&lt;&gt;",P40:T40)</f>
        <v>88</v>
      </c>
      <c r="V40" s="46" t="n">
        <f aca="false">(U40/U$15)*50+50</f>
        <v>94</v>
      </c>
      <c r="W40" s="46" t="n">
        <f aca="false">V40*0.2</f>
        <v>18.8</v>
      </c>
      <c r="X40" s="45" t="n">
        <v>90</v>
      </c>
      <c r="Y40" s="46" t="n">
        <f aca="false">(X40/X$15)*50+50</f>
        <v>95</v>
      </c>
      <c r="Z40" s="46" t="n">
        <f aca="false">Y40*0.5</f>
        <v>47.5</v>
      </c>
      <c r="AA40" s="47" t="n">
        <f aca="false">SUM(Z40,W40,O40)</f>
        <v>90.3</v>
      </c>
      <c r="AB40" s="49"/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GORDO, PAUL GREG BAJO</v>
      </c>
      <c r="C41" s="45" t="n">
        <v>1</v>
      </c>
      <c r="D41" s="45"/>
      <c r="E41" s="45"/>
      <c r="F41" s="45"/>
      <c r="G41" s="45"/>
      <c r="H41" s="45"/>
      <c r="I41" s="45"/>
      <c r="J41" s="45"/>
      <c r="K41" s="45"/>
      <c r="L41" s="45"/>
      <c r="M41" s="46" t="n">
        <f aca="false">SUMIF(C41:L41,"&lt;&gt;",C41:L41)</f>
        <v>1</v>
      </c>
      <c r="N41" s="46" t="n">
        <f aca="false">(M41/M$15)*50+50</f>
        <v>55</v>
      </c>
      <c r="O41" s="46" t="n">
        <f aca="false">N41*0.3</f>
        <v>16.5</v>
      </c>
      <c r="P41" s="45" t="n">
        <v>80</v>
      </c>
      <c r="Q41" s="45"/>
      <c r="R41" s="45"/>
      <c r="S41" s="45"/>
      <c r="T41" s="45"/>
      <c r="U41" s="46" t="n">
        <f aca="false">SUMIF(P41:T41,"&lt;&gt;",P41:T41)</f>
        <v>80</v>
      </c>
      <c r="V41" s="46" t="n">
        <f aca="false">(U41/U$15)*50+50</f>
        <v>90</v>
      </c>
      <c r="W41" s="46" t="n">
        <f aca="false">V41*0.2</f>
        <v>18</v>
      </c>
      <c r="X41" s="45" t="n">
        <v>80</v>
      </c>
      <c r="Y41" s="46" t="n">
        <f aca="false">(X41/X$15)*50+50</f>
        <v>90</v>
      </c>
      <c r="Z41" s="46" t="n">
        <f aca="false">Y41*0.5</f>
        <v>45</v>
      </c>
      <c r="AA41" s="47" t="n">
        <f aca="false">SUM(Z41,W41,O41)</f>
        <v>79.5</v>
      </c>
      <c r="AB41" s="49"/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GRANDEA, JOSE REY URBANOZO</v>
      </c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6" t="n">
        <f aca="false">SUMIF(C42:L42,"&lt;&gt;",C42:L42)</f>
        <v>0</v>
      </c>
      <c r="N42" s="46" t="n">
        <f aca="false">(M42/M$15)*50+50</f>
        <v>50</v>
      </c>
      <c r="O42" s="46" t="n">
        <f aca="false">N42*0.3</f>
        <v>15</v>
      </c>
      <c r="P42" s="45"/>
      <c r="Q42" s="45"/>
      <c r="R42" s="45"/>
      <c r="S42" s="45"/>
      <c r="T42" s="45"/>
      <c r="U42" s="46" t="n">
        <f aca="false">SUMIF(P42:T42,"&lt;&gt;",P42:T42)</f>
        <v>0</v>
      </c>
      <c r="V42" s="46" t="n">
        <f aca="false">(U42/U$15)*50+50</f>
        <v>50</v>
      </c>
      <c r="W42" s="46" t="n">
        <f aca="false">V42*0.2</f>
        <v>10</v>
      </c>
      <c r="X42" s="45"/>
      <c r="Y42" s="46" t="n">
        <f aca="false">(X42/X$15)*50+50</f>
        <v>50</v>
      </c>
      <c r="Z42" s="46" t="n">
        <f aca="false">Y42*0.5</f>
        <v>25</v>
      </c>
      <c r="AA42" s="47" t="n">
        <f aca="false">SUM(Z42,W42,O42)</f>
        <v>50</v>
      </c>
      <c r="AB42" s="49"/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GUILARAN, CHRISTIAN VILLAMAR</v>
      </c>
      <c r="C43" s="45" t="n">
        <v>6</v>
      </c>
      <c r="D43" s="45"/>
      <c r="E43" s="45"/>
      <c r="F43" s="45"/>
      <c r="G43" s="45"/>
      <c r="H43" s="45"/>
      <c r="I43" s="45"/>
      <c r="J43" s="45"/>
      <c r="K43" s="45"/>
      <c r="L43" s="45"/>
      <c r="M43" s="46" t="n">
        <f aca="false">SUMIF(C43:L43,"&lt;&gt;",C43:L43)</f>
        <v>6</v>
      </c>
      <c r="N43" s="46" t="n">
        <f aca="false">(M43/M$15)*50+50</f>
        <v>80</v>
      </c>
      <c r="O43" s="46" t="n">
        <f aca="false">N43*0.3</f>
        <v>24</v>
      </c>
      <c r="P43" s="45" t="n">
        <v>88</v>
      </c>
      <c r="Q43" s="45"/>
      <c r="R43" s="45"/>
      <c r="S43" s="45"/>
      <c r="T43" s="45"/>
      <c r="U43" s="46" t="n">
        <f aca="false">SUMIF(P43:T43,"&lt;&gt;",P43:T43)</f>
        <v>88</v>
      </c>
      <c r="V43" s="46" t="n">
        <f aca="false">(U43/U$15)*50+50</f>
        <v>94</v>
      </c>
      <c r="W43" s="46" t="n">
        <f aca="false">V43*0.2</f>
        <v>18.8</v>
      </c>
      <c r="X43" s="45" t="n">
        <v>90</v>
      </c>
      <c r="Y43" s="46" t="n">
        <f aca="false">(X43/X$15)*50+50</f>
        <v>95</v>
      </c>
      <c r="Z43" s="46" t="n">
        <f aca="false">Y43*0.5</f>
        <v>47.5</v>
      </c>
      <c r="AA43" s="47" t="n">
        <f aca="false">SUM(Z43,W43,O43)</f>
        <v>90.3</v>
      </c>
      <c r="AB43" s="49"/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HERMOSURA, JAYCA FUNDADOR</v>
      </c>
      <c r="C44" s="45" t="n">
        <v>4</v>
      </c>
      <c r="D44" s="45"/>
      <c r="E44" s="45"/>
      <c r="F44" s="45"/>
      <c r="G44" s="45"/>
      <c r="H44" s="45"/>
      <c r="I44" s="45"/>
      <c r="J44" s="45"/>
      <c r="K44" s="45"/>
      <c r="L44" s="45"/>
      <c r="M44" s="46" t="n">
        <f aca="false">SUMIF(C44:L44,"&lt;&gt;",C44:L44)</f>
        <v>4</v>
      </c>
      <c r="N44" s="46" t="n">
        <f aca="false">(M44/M$15)*50+50</f>
        <v>70</v>
      </c>
      <c r="O44" s="46" t="n">
        <f aca="false">N44*0.3</f>
        <v>21</v>
      </c>
      <c r="P44" s="45" t="n">
        <v>80</v>
      </c>
      <c r="Q44" s="45"/>
      <c r="R44" s="45"/>
      <c r="S44" s="45"/>
      <c r="T44" s="45"/>
      <c r="U44" s="46" t="n">
        <f aca="false">SUMIF(P44:T44,"&lt;&gt;",P44:T44)</f>
        <v>80</v>
      </c>
      <c r="V44" s="46" t="n">
        <f aca="false">(U44/U$15)*50+50</f>
        <v>90</v>
      </c>
      <c r="W44" s="46" t="n">
        <f aca="false">V44*0.2</f>
        <v>18</v>
      </c>
      <c r="X44" s="45" t="n">
        <v>85</v>
      </c>
      <c r="Y44" s="46" t="n">
        <f aca="false">(X44/X$15)*50+50</f>
        <v>92.5</v>
      </c>
      <c r="Z44" s="46" t="n">
        <f aca="false">Y44*0.5</f>
        <v>46.25</v>
      </c>
      <c r="AA44" s="47" t="n">
        <f aca="false">SUM(Z44,W44,O44)</f>
        <v>85.25</v>
      </c>
      <c r="AB44" s="49"/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HILADO, CATHERINE SALVILLA</v>
      </c>
      <c r="C45" s="45" t="n">
        <v>6</v>
      </c>
      <c r="D45" s="45"/>
      <c r="E45" s="45"/>
      <c r="F45" s="45"/>
      <c r="G45" s="45"/>
      <c r="H45" s="45"/>
      <c r="I45" s="45"/>
      <c r="J45" s="45"/>
      <c r="K45" s="45"/>
      <c r="L45" s="45"/>
      <c r="M45" s="46" t="n">
        <f aca="false">SUMIF(C45:L45,"&lt;&gt;",C45:L45)</f>
        <v>6</v>
      </c>
      <c r="N45" s="46" t="n">
        <f aca="false">(M45/M$15)*50+50</f>
        <v>80</v>
      </c>
      <c r="O45" s="46" t="n">
        <f aca="false">N45*0.3</f>
        <v>24</v>
      </c>
      <c r="P45" s="45" t="n">
        <v>88</v>
      </c>
      <c r="Q45" s="45"/>
      <c r="R45" s="45"/>
      <c r="S45" s="45"/>
      <c r="T45" s="45"/>
      <c r="U45" s="46" t="n">
        <f aca="false">SUMIF(P45:T45,"&lt;&gt;",P45:T45)</f>
        <v>88</v>
      </c>
      <c r="V45" s="46" t="n">
        <f aca="false">(U45/U$15)*50+50</f>
        <v>94</v>
      </c>
      <c r="W45" s="46" t="n">
        <f aca="false">V45*0.2</f>
        <v>18.8</v>
      </c>
      <c r="X45" s="45" t="n">
        <v>90</v>
      </c>
      <c r="Y45" s="46" t="n">
        <f aca="false">(X45/X$15)*50+50</f>
        <v>95</v>
      </c>
      <c r="Z45" s="46" t="n">
        <f aca="false">Y45*0.5</f>
        <v>47.5</v>
      </c>
      <c r="AA45" s="47" t="n">
        <f aca="false">SUM(Z45,W45,O45)</f>
        <v>90.3</v>
      </c>
      <c r="AB45" s="49"/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IBAÑEZ , ALFON FRANC DELA CRUZ</v>
      </c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6" t="n">
        <f aca="false">SUMIF(C46:L46,"&lt;&gt;",C46:L46)</f>
        <v>0</v>
      </c>
      <c r="N46" s="46" t="n">
        <f aca="false">(M46/M$15)*50+50</f>
        <v>50</v>
      </c>
      <c r="O46" s="46" t="n">
        <f aca="false">N46*0.3</f>
        <v>15</v>
      </c>
      <c r="P46" s="45"/>
      <c r="Q46" s="45"/>
      <c r="R46" s="45"/>
      <c r="S46" s="45"/>
      <c r="T46" s="45"/>
      <c r="U46" s="46" t="n">
        <f aca="false">SUMIF(P46:T46,"&lt;&gt;",P46:T46)</f>
        <v>0</v>
      </c>
      <c r="V46" s="46" t="n">
        <f aca="false">(U46/U$15)*50+50</f>
        <v>50</v>
      </c>
      <c r="W46" s="46" t="n">
        <f aca="false">V46*0.2</f>
        <v>10</v>
      </c>
      <c r="X46" s="45"/>
      <c r="Y46" s="46" t="n">
        <f aca="false">(X46/X$15)*50+50</f>
        <v>50</v>
      </c>
      <c r="Z46" s="46" t="n">
        <f aca="false">Y46*0.5</f>
        <v>25</v>
      </c>
      <c r="AA46" s="47" t="n">
        <f aca="false">SUM(Z46,W46,O46)</f>
        <v>50</v>
      </c>
      <c r="AB46" s="49"/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IBAÑEZ, LEO CASSANDRE DIONILLO</v>
      </c>
      <c r="C47" s="45" t="n">
        <v>1</v>
      </c>
      <c r="D47" s="45"/>
      <c r="E47" s="45"/>
      <c r="F47" s="45"/>
      <c r="G47" s="45"/>
      <c r="H47" s="45"/>
      <c r="I47" s="45"/>
      <c r="J47" s="45"/>
      <c r="K47" s="45"/>
      <c r="L47" s="45"/>
      <c r="M47" s="46" t="n">
        <f aca="false">SUMIF(C47:L47,"&lt;&gt;",C47:L47)</f>
        <v>1</v>
      </c>
      <c r="N47" s="46" t="n">
        <f aca="false">(M47/M$15)*50+50</f>
        <v>55</v>
      </c>
      <c r="O47" s="46" t="n">
        <f aca="false">N47*0.3</f>
        <v>16.5</v>
      </c>
      <c r="P47" s="45" t="n">
        <v>80</v>
      </c>
      <c r="Q47" s="45"/>
      <c r="R47" s="45"/>
      <c r="S47" s="45"/>
      <c r="T47" s="45"/>
      <c r="U47" s="46" t="n">
        <f aca="false">SUMIF(P47:T47,"&lt;&gt;",P47:T47)</f>
        <v>80</v>
      </c>
      <c r="V47" s="46" t="n">
        <f aca="false">(U47/U$15)*50+50</f>
        <v>90</v>
      </c>
      <c r="W47" s="46" t="n">
        <f aca="false">V47*0.2</f>
        <v>18</v>
      </c>
      <c r="X47" s="45" t="n">
        <v>80</v>
      </c>
      <c r="Y47" s="46" t="n">
        <f aca="false">(X47/X$15)*50+50</f>
        <v>90</v>
      </c>
      <c r="Z47" s="46" t="n">
        <f aca="false">Y47*0.5</f>
        <v>45</v>
      </c>
      <c r="AA47" s="47" t="n">
        <f aca="false">SUM(Z47,W47,O47)</f>
        <v>79.5</v>
      </c>
      <c r="AB47" s="49"/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ILUSTRISIMO, REYNALDO SAYSON</v>
      </c>
      <c r="C48" s="45" t="n">
        <v>6</v>
      </c>
      <c r="D48" s="45"/>
      <c r="E48" s="45"/>
      <c r="F48" s="45"/>
      <c r="G48" s="45"/>
      <c r="H48" s="45"/>
      <c r="I48" s="45"/>
      <c r="J48" s="45"/>
      <c r="K48" s="45"/>
      <c r="L48" s="45"/>
      <c r="M48" s="46" t="n">
        <f aca="false">SUMIF(C48:L48,"&lt;&gt;",C48:L48)</f>
        <v>6</v>
      </c>
      <c r="N48" s="46" t="n">
        <f aca="false">(M48/M$15)*50+50</f>
        <v>80</v>
      </c>
      <c r="O48" s="46" t="n">
        <f aca="false">N48*0.3</f>
        <v>24</v>
      </c>
      <c r="P48" s="45" t="n">
        <v>88</v>
      </c>
      <c r="Q48" s="45"/>
      <c r="R48" s="45"/>
      <c r="S48" s="45"/>
      <c r="T48" s="45"/>
      <c r="U48" s="46" t="n">
        <f aca="false">SUMIF(P48:T48,"&lt;&gt;",P48:T48)</f>
        <v>88</v>
      </c>
      <c r="V48" s="46" t="n">
        <f aca="false">(U48/U$15)*50+50</f>
        <v>94</v>
      </c>
      <c r="W48" s="46" t="n">
        <f aca="false">V48*0.2</f>
        <v>18.8</v>
      </c>
      <c r="X48" s="45" t="n">
        <v>90</v>
      </c>
      <c r="Y48" s="46" t="n">
        <f aca="false">(X48/X$15)*50+50</f>
        <v>95</v>
      </c>
      <c r="Z48" s="46" t="n">
        <f aca="false">Y48*0.5</f>
        <v>47.5</v>
      </c>
      <c r="AA48" s="47" t="n">
        <f aca="false">SUM(Z48,W48,O48)</f>
        <v>90.3</v>
      </c>
      <c r="AB48" s="49"/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ILUSTRISIMO, REYSHEL SAYSON</v>
      </c>
      <c r="C49" s="45" t="n">
        <v>6</v>
      </c>
      <c r="D49" s="45"/>
      <c r="E49" s="45"/>
      <c r="F49" s="45"/>
      <c r="G49" s="45"/>
      <c r="H49" s="45"/>
      <c r="I49" s="45"/>
      <c r="J49" s="45"/>
      <c r="K49" s="45"/>
      <c r="L49" s="45"/>
      <c r="M49" s="46" t="n">
        <f aca="false">SUMIF(C49:L49,"&lt;&gt;",C49:L49)</f>
        <v>6</v>
      </c>
      <c r="N49" s="46" t="n">
        <f aca="false">(M49/M$15)*50+50</f>
        <v>80</v>
      </c>
      <c r="O49" s="48" t="n">
        <f aca="false">N49*0.3</f>
        <v>24</v>
      </c>
      <c r="P49" s="45" t="n">
        <v>88</v>
      </c>
      <c r="Q49" s="45"/>
      <c r="R49" s="45"/>
      <c r="S49" s="45"/>
      <c r="T49" s="45"/>
      <c r="U49" s="46" t="n">
        <f aca="false">SUMIF(P49:T49,"&lt;&gt;",P49:T49)</f>
        <v>88</v>
      </c>
      <c r="V49" s="46" t="n">
        <f aca="false">(U49/U$15)*50+50</f>
        <v>94</v>
      </c>
      <c r="W49" s="46" t="n">
        <f aca="false">V49*0.2</f>
        <v>18.8</v>
      </c>
      <c r="X49" s="45" t="n">
        <v>90</v>
      </c>
      <c r="Y49" s="46" t="n">
        <f aca="false">(X49/X$15)*50+50</f>
        <v>95</v>
      </c>
      <c r="Z49" s="46" t="n">
        <f aca="false">Y49*0.5</f>
        <v>47.5</v>
      </c>
      <c r="AA49" s="47" t="n">
        <f aca="false">SUM(Z49,W49,O49)</f>
        <v>90.3</v>
      </c>
      <c r="AB49" s="49"/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JAIN, HARVEY ARIOLA</v>
      </c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0</v>
      </c>
      <c r="N50" s="46" t="n">
        <f aca="false">(M50/M$15)*50+50</f>
        <v>50</v>
      </c>
      <c r="O50" s="48" t="n">
        <f aca="false">N50*0.3</f>
        <v>15</v>
      </c>
      <c r="P50" s="45"/>
      <c r="Q50" s="45"/>
      <c r="R50" s="45"/>
      <c r="S50" s="45"/>
      <c r="T50" s="45"/>
      <c r="U50" s="46" t="n">
        <f aca="false">SUMIF(P50:T50,"&lt;&gt;",P50:T50)</f>
        <v>0</v>
      </c>
      <c r="V50" s="46" t="n">
        <f aca="false">(U50/U$15)*50+50</f>
        <v>50</v>
      </c>
      <c r="W50" s="46" t="n">
        <f aca="false">V50*0.2</f>
        <v>10</v>
      </c>
      <c r="X50" s="45"/>
      <c r="Y50" s="46" t="n">
        <f aca="false">(X50/X$15)*50+50</f>
        <v>50</v>
      </c>
      <c r="Z50" s="46" t="n">
        <f aca="false">Y50*0.5</f>
        <v>25</v>
      </c>
      <c r="AA50" s="47" t="n">
        <f aca="false">SUM(Z50,W50,O50)</f>
        <v>50</v>
      </c>
      <c r="AB50" s="49"/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LACHICA, ALTHEIA ROSE CASIDSID</v>
      </c>
      <c r="C51" s="45" t="n">
        <v>1</v>
      </c>
      <c r="D51" s="45"/>
      <c r="E51" s="45"/>
      <c r="F51" s="45"/>
      <c r="G51" s="45"/>
      <c r="H51" s="45"/>
      <c r="I51" s="45"/>
      <c r="J51" s="45"/>
      <c r="K51" s="45"/>
      <c r="L51" s="45"/>
      <c r="M51" s="46" t="n">
        <f aca="false">SUMIF(C51:L51,"&lt;&gt;",C51:L51)</f>
        <v>1</v>
      </c>
      <c r="N51" s="46" t="n">
        <f aca="false">(M51/M$15)*50+50</f>
        <v>55</v>
      </c>
      <c r="O51" s="48" t="n">
        <f aca="false">N51*0.3</f>
        <v>16.5</v>
      </c>
      <c r="P51" s="45" t="n">
        <v>80</v>
      </c>
      <c r="Q51" s="45"/>
      <c r="R51" s="45"/>
      <c r="S51" s="45"/>
      <c r="T51" s="45"/>
      <c r="U51" s="46" t="n">
        <f aca="false">SUMIF(P51:T51,"&lt;&gt;",P51:T51)</f>
        <v>80</v>
      </c>
      <c r="V51" s="46" t="n">
        <f aca="false">(U51/U$15)*50+50</f>
        <v>90</v>
      </c>
      <c r="W51" s="46" t="n">
        <f aca="false">V51*0.2</f>
        <v>18</v>
      </c>
      <c r="X51" s="45" t="n">
        <v>80</v>
      </c>
      <c r="Y51" s="46" t="n">
        <f aca="false">(X51/X$15)*50+50</f>
        <v>90</v>
      </c>
      <c r="Z51" s="46" t="n">
        <f aca="false">Y51*0.5</f>
        <v>45</v>
      </c>
      <c r="AA51" s="47" t="n">
        <f aca="false">SUM(Z51,W51,O51)</f>
        <v>79.5</v>
      </c>
      <c r="AB51" s="49"/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LACSON, NOVIE VALENTINO</v>
      </c>
      <c r="C52" s="45" t="n">
        <v>6</v>
      </c>
      <c r="D52" s="45"/>
      <c r="E52" s="45"/>
      <c r="F52" s="45"/>
      <c r="G52" s="45"/>
      <c r="H52" s="45"/>
      <c r="I52" s="45"/>
      <c r="J52" s="45"/>
      <c r="K52" s="45"/>
      <c r="L52" s="45"/>
      <c r="M52" s="46" t="n">
        <f aca="false">SUMIF(C52:L52,"&lt;&gt;",C52:L52)</f>
        <v>6</v>
      </c>
      <c r="N52" s="46" t="n">
        <f aca="false">(M52/M$15)*50+50</f>
        <v>80</v>
      </c>
      <c r="O52" s="48" t="n">
        <f aca="false">N52*0.3</f>
        <v>24</v>
      </c>
      <c r="P52" s="45" t="n">
        <v>88</v>
      </c>
      <c r="Q52" s="45"/>
      <c r="R52" s="45"/>
      <c r="S52" s="45"/>
      <c r="T52" s="45"/>
      <c r="U52" s="46" t="n">
        <f aca="false">SUMIF(P52:T52,"&lt;&gt;",P52:T52)</f>
        <v>88</v>
      </c>
      <c r="V52" s="46" t="n">
        <f aca="false">(U52/U$15)*50+50</f>
        <v>94</v>
      </c>
      <c r="W52" s="46" t="n">
        <f aca="false">V52*0.2</f>
        <v>18.8</v>
      </c>
      <c r="X52" s="45" t="n">
        <v>90</v>
      </c>
      <c r="Y52" s="46" t="n">
        <f aca="false">(X52/X$15)*50+50</f>
        <v>95</v>
      </c>
      <c r="Z52" s="46" t="n">
        <f aca="false">Y52*0.5</f>
        <v>47.5</v>
      </c>
      <c r="AA52" s="47" t="n">
        <f aca="false">SUM(Z52,W52,O52)</f>
        <v>90.3</v>
      </c>
      <c r="AB52" s="49"/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LAURITO, MJ MEDES</v>
      </c>
      <c r="C53" s="45" t="n">
        <v>1</v>
      </c>
      <c r="D53" s="45"/>
      <c r="E53" s="45"/>
      <c r="F53" s="45"/>
      <c r="G53" s="45"/>
      <c r="H53" s="45"/>
      <c r="I53" s="45"/>
      <c r="J53" s="45"/>
      <c r="K53" s="45"/>
      <c r="L53" s="45"/>
      <c r="M53" s="46" t="n">
        <f aca="false">SUMIF(C53:L53,"&lt;&gt;",C53:L53)</f>
        <v>1</v>
      </c>
      <c r="N53" s="46" t="n">
        <f aca="false">(M53/M$15)*50+50</f>
        <v>55</v>
      </c>
      <c r="O53" s="48" t="n">
        <f aca="false">N53*0.3</f>
        <v>16.5</v>
      </c>
      <c r="P53" s="45" t="n">
        <v>80</v>
      </c>
      <c r="Q53" s="45"/>
      <c r="R53" s="45"/>
      <c r="S53" s="45"/>
      <c r="T53" s="45"/>
      <c r="U53" s="46" t="n">
        <f aca="false">SUMIF(P53:T53,"&lt;&gt;",P53:T53)</f>
        <v>80</v>
      </c>
      <c r="V53" s="46" t="n">
        <f aca="false">(U53/U$15)*50+50</f>
        <v>90</v>
      </c>
      <c r="W53" s="46" t="n">
        <f aca="false">V53*0.2</f>
        <v>18</v>
      </c>
      <c r="X53" s="45" t="n">
        <v>80</v>
      </c>
      <c r="Y53" s="46" t="n">
        <f aca="false">(X53/X$15)*50+50</f>
        <v>90</v>
      </c>
      <c r="Z53" s="46" t="n">
        <f aca="false">Y53*0.5</f>
        <v>45</v>
      </c>
      <c r="AA53" s="47" t="n">
        <f aca="false">SUM(Z53,W53,O53)</f>
        <v>79.5</v>
      </c>
      <c r="AB53" s="49"/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LAYAN, JOHN REL RAGO</v>
      </c>
      <c r="C54" s="45" t="n">
        <v>5</v>
      </c>
      <c r="D54" s="45"/>
      <c r="E54" s="45"/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5</v>
      </c>
      <c r="N54" s="46" t="n">
        <f aca="false">(M54/M$15)*50+50</f>
        <v>75</v>
      </c>
      <c r="O54" s="48" t="n">
        <f aca="false">N54*0.3</f>
        <v>22.5</v>
      </c>
      <c r="P54" s="45" t="n">
        <v>88</v>
      </c>
      <c r="Q54" s="45"/>
      <c r="R54" s="45"/>
      <c r="S54" s="45"/>
      <c r="T54" s="45"/>
      <c r="U54" s="46" t="n">
        <f aca="false">SUMIF(P54:T54,"&lt;&gt;",P54:T54)</f>
        <v>88</v>
      </c>
      <c r="V54" s="46" t="n">
        <f aca="false">(U54/U$15)*50+50</f>
        <v>94</v>
      </c>
      <c r="W54" s="46" t="n">
        <f aca="false">V54*0.2</f>
        <v>18.8</v>
      </c>
      <c r="X54" s="45" t="n">
        <v>88</v>
      </c>
      <c r="Y54" s="46" t="n">
        <f aca="false">(X54/X$15)*50+50</f>
        <v>94</v>
      </c>
      <c r="Z54" s="46" t="n">
        <f aca="false">Y54*0.5</f>
        <v>47</v>
      </c>
      <c r="AA54" s="47" t="n">
        <f aca="false">SUM(Z54,W54,O54)</f>
        <v>88.3</v>
      </c>
      <c r="AB54" s="49"/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LIBRE, MARIEL CAUSAPIN</v>
      </c>
      <c r="C55" s="45" t="n">
        <v>4</v>
      </c>
      <c r="D55" s="45"/>
      <c r="E55" s="45"/>
      <c r="F55" s="45"/>
      <c r="G55" s="45"/>
      <c r="H55" s="45"/>
      <c r="I55" s="45"/>
      <c r="J55" s="45"/>
      <c r="K55" s="45"/>
      <c r="L55" s="45"/>
      <c r="M55" s="46" t="n">
        <f aca="false">SUMIF(C55:L55,"&lt;&gt;",C55:L55)</f>
        <v>4</v>
      </c>
      <c r="N55" s="46" t="n">
        <f aca="false">(M55/M$15)*50+50</f>
        <v>70</v>
      </c>
      <c r="O55" s="48" t="n">
        <f aca="false">N55*0.3</f>
        <v>21</v>
      </c>
      <c r="P55" s="45" t="n">
        <v>80</v>
      </c>
      <c r="Q55" s="45"/>
      <c r="R55" s="45"/>
      <c r="S55" s="45"/>
      <c r="T55" s="45"/>
      <c r="U55" s="46" t="n">
        <f aca="false">SUMIF(P55:T55,"&lt;&gt;",P55:T55)</f>
        <v>80</v>
      </c>
      <c r="V55" s="46" t="n">
        <f aca="false">(U55/U$15)*50+50</f>
        <v>90</v>
      </c>
      <c r="W55" s="46" t="n">
        <f aca="false">V55*0.2</f>
        <v>18</v>
      </c>
      <c r="X55" s="45" t="n">
        <v>85</v>
      </c>
      <c r="Y55" s="46" t="n">
        <f aca="false">(X55/X$15)*50+50</f>
        <v>92.5</v>
      </c>
      <c r="Z55" s="46" t="n">
        <f aca="false">Y55*0.5</f>
        <v>46.25</v>
      </c>
      <c r="AA55" s="47" t="n">
        <f aca="false">SUM(Z55,W55,O55)</f>
        <v>85.25</v>
      </c>
      <c r="AB55" s="49"/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LIRAZAN, ADRIAN PANONCIAL</v>
      </c>
      <c r="C56" s="45" t="n">
        <v>1</v>
      </c>
      <c r="D56" s="45"/>
      <c r="E56" s="45"/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1</v>
      </c>
      <c r="N56" s="46" t="n">
        <f aca="false">(M56/M$15)*50+50</f>
        <v>55</v>
      </c>
      <c r="O56" s="48" t="n">
        <f aca="false">N56*0.3</f>
        <v>16.5</v>
      </c>
      <c r="P56" s="45" t="n">
        <v>80</v>
      </c>
      <c r="Q56" s="45"/>
      <c r="R56" s="45"/>
      <c r="S56" s="45"/>
      <c r="T56" s="45"/>
      <c r="U56" s="46" t="n">
        <f aca="false">SUMIF(P56:T56,"&lt;&gt;",P56:T56)</f>
        <v>80</v>
      </c>
      <c r="V56" s="46" t="n">
        <f aca="false">(U56/U$15)*50+50</f>
        <v>90</v>
      </c>
      <c r="W56" s="46" t="n">
        <f aca="false">V56*0.2</f>
        <v>18</v>
      </c>
      <c r="X56" s="45" t="n">
        <v>80</v>
      </c>
      <c r="Y56" s="46" t="n">
        <f aca="false">(X56/X$15)*50+50</f>
        <v>90</v>
      </c>
      <c r="Z56" s="46" t="n">
        <f aca="false">Y56*0.5</f>
        <v>45</v>
      </c>
      <c r="AA56" s="47" t="n">
        <f aca="false">SUM(Z56,W56,O56)</f>
        <v>79.5</v>
      </c>
      <c r="AB56" s="49"/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LOZANA, REGEL KEN MAGDAEL</v>
      </c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6" t="n">
        <f aca="false">SUMIF(C57:L57,"&lt;&gt;",C57:L57)</f>
        <v>0</v>
      </c>
      <c r="N57" s="46" t="n">
        <f aca="false">(M57/M$15)*50+50</f>
        <v>50</v>
      </c>
      <c r="O57" s="48" t="n">
        <f aca="false">N57*0.3</f>
        <v>15</v>
      </c>
      <c r="P57" s="45"/>
      <c r="Q57" s="45"/>
      <c r="R57" s="45"/>
      <c r="S57" s="45"/>
      <c r="T57" s="45"/>
      <c r="U57" s="46" t="n">
        <f aca="false">SUMIF(P57:T57,"&lt;&gt;",P57:T57)</f>
        <v>0</v>
      </c>
      <c r="V57" s="46" t="n">
        <f aca="false">(U57/U$15)*50+50</f>
        <v>50</v>
      </c>
      <c r="W57" s="46" t="n">
        <f aca="false">V57*0.2</f>
        <v>10</v>
      </c>
      <c r="X57" s="45"/>
      <c r="Y57" s="46" t="n">
        <f aca="false">(X57/X$15)*50+50</f>
        <v>50</v>
      </c>
      <c r="Z57" s="46" t="n">
        <f aca="false">Y57*0.5</f>
        <v>25</v>
      </c>
      <c r="AA57" s="47" t="n">
        <f aca="false">SUM(Z57,W57,O57)</f>
        <v>50</v>
      </c>
      <c r="AB57" s="49"/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LUCASAN, ARC XERLAN DULLA</v>
      </c>
      <c r="C58" s="45" t="n">
        <v>6</v>
      </c>
      <c r="D58" s="45"/>
      <c r="E58" s="45"/>
      <c r="F58" s="45"/>
      <c r="G58" s="45"/>
      <c r="H58" s="45"/>
      <c r="I58" s="45"/>
      <c r="J58" s="45"/>
      <c r="K58" s="45"/>
      <c r="L58" s="45"/>
      <c r="M58" s="46" t="n">
        <f aca="false">SUMIF(C58:L58,"&lt;&gt;",C58:L58)</f>
        <v>6</v>
      </c>
      <c r="N58" s="46" t="n">
        <f aca="false">(M58/M$15)*50+50</f>
        <v>80</v>
      </c>
      <c r="O58" s="48" t="n">
        <f aca="false">N58*0.3</f>
        <v>24</v>
      </c>
      <c r="P58" s="45" t="n">
        <v>88</v>
      </c>
      <c r="Q58" s="45"/>
      <c r="R58" s="45"/>
      <c r="S58" s="45"/>
      <c r="T58" s="45"/>
      <c r="U58" s="46" t="n">
        <f aca="false">SUMIF(P58:T58,"&lt;&gt;",P58:T58)</f>
        <v>88</v>
      </c>
      <c r="V58" s="46" t="n">
        <f aca="false">(U58/U$15)*50+50</f>
        <v>94</v>
      </c>
      <c r="W58" s="46" t="n">
        <f aca="false">V58*0.2</f>
        <v>18.8</v>
      </c>
      <c r="X58" s="45" t="n">
        <v>90</v>
      </c>
      <c r="Y58" s="46" t="n">
        <f aca="false">(X58/X$15)*50+50</f>
        <v>95</v>
      </c>
      <c r="Z58" s="46" t="n">
        <f aca="false">Y58*0.5</f>
        <v>47.5</v>
      </c>
      <c r="AA58" s="47" t="n">
        <f aca="false">SUM(Z58,W58,O58)</f>
        <v>90.3</v>
      </c>
      <c r="AB58" s="49"/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SILPAO, ADRIAN FREDERICK GATDULA</v>
      </c>
      <c r="C59" s="45" t="n">
        <v>5</v>
      </c>
      <c r="D59" s="45"/>
      <c r="E59" s="45"/>
      <c r="F59" s="45"/>
      <c r="G59" s="45"/>
      <c r="H59" s="45"/>
      <c r="I59" s="45"/>
      <c r="J59" s="45"/>
      <c r="K59" s="45"/>
      <c r="L59" s="45"/>
      <c r="M59" s="46" t="n">
        <f aca="false">SUMIF(C59:L59,"&lt;&gt;",C59:L59)</f>
        <v>5</v>
      </c>
      <c r="N59" s="46" t="n">
        <f aca="false">(M59/M$15)*50+50</f>
        <v>75</v>
      </c>
      <c r="O59" s="48" t="n">
        <f aca="false">N59*0.3</f>
        <v>22.5</v>
      </c>
      <c r="P59" s="45" t="n">
        <v>88</v>
      </c>
      <c r="Q59" s="45"/>
      <c r="R59" s="45"/>
      <c r="S59" s="45"/>
      <c r="T59" s="45"/>
      <c r="U59" s="46" t="n">
        <f aca="false">SUMIF(P59:T59,"&lt;&gt;",P59:T59)</f>
        <v>88</v>
      </c>
      <c r="V59" s="46" t="n">
        <f aca="false">(U59/U$15)*50+50</f>
        <v>94</v>
      </c>
      <c r="W59" s="46" t="n">
        <f aca="false">V59*0.2</f>
        <v>18.8</v>
      </c>
      <c r="X59" s="45" t="n">
        <v>88</v>
      </c>
      <c r="Y59" s="46" t="n">
        <f aca="false">(X59/X$15)*50+50</f>
        <v>94</v>
      </c>
      <c r="Z59" s="46" t="n">
        <f aca="false">Y59*0.5</f>
        <v>47</v>
      </c>
      <c r="AA59" s="47" t="n">
        <f aca="false">SUM(Z59,W59,O59)</f>
        <v>88.3</v>
      </c>
      <c r="AB59" s="49"/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SILPAO, ANDREI ANTONIO GATDULA</v>
      </c>
      <c r="C60" s="45" t="n">
        <v>5</v>
      </c>
      <c r="D60" s="45"/>
      <c r="E60" s="45"/>
      <c r="F60" s="45"/>
      <c r="G60" s="45"/>
      <c r="H60" s="45"/>
      <c r="I60" s="45"/>
      <c r="J60" s="45"/>
      <c r="K60" s="45"/>
      <c r="L60" s="45"/>
      <c r="M60" s="46" t="n">
        <f aca="false">SUMIF(C60:L60,"&lt;&gt;",C60:L60)</f>
        <v>5</v>
      </c>
      <c r="N60" s="46" t="n">
        <f aca="false">(M60/M$15)*50+50</f>
        <v>75</v>
      </c>
      <c r="O60" s="48" t="n">
        <f aca="false">N60*0.3</f>
        <v>22.5</v>
      </c>
      <c r="P60" s="45" t="n">
        <v>88</v>
      </c>
      <c r="Q60" s="45"/>
      <c r="R60" s="45"/>
      <c r="S60" s="45"/>
      <c r="T60" s="45"/>
      <c r="U60" s="46" t="n">
        <f aca="false">SUMIF(P60:T60,"&lt;&gt;",P60:T60)</f>
        <v>88</v>
      </c>
      <c r="V60" s="46" t="n">
        <f aca="false">(U60/U$15)*50+50</f>
        <v>94</v>
      </c>
      <c r="W60" s="46" t="n">
        <f aca="false">V60*0.2</f>
        <v>18.8</v>
      </c>
      <c r="X60" s="45" t="n">
        <v>88</v>
      </c>
      <c r="Y60" s="46" t="n">
        <f aca="false">(X60/X$15)*50+50</f>
        <v>94</v>
      </c>
      <c r="Z60" s="46" t="n">
        <f aca="false">Y60*0.5</f>
        <v>47</v>
      </c>
      <c r="AA60" s="47" t="n">
        <f aca="false">SUM(Z60,W60,O60)</f>
        <v>88.3</v>
      </c>
      <c r="AB60" s="49"/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SUMAGAYSAY, MAY ANN MOREÑO</v>
      </c>
      <c r="C61" s="45" t="n">
        <v>5</v>
      </c>
      <c r="D61" s="45"/>
      <c r="E61" s="45"/>
      <c r="F61" s="45"/>
      <c r="G61" s="45"/>
      <c r="H61" s="45"/>
      <c r="I61" s="45"/>
      <c r="J61" s="45"/>
      <c r="K61" s="45"/>
      <c r="L61" s="45"/>
      <c r="M61" s="46" t="n">
        <f aca="false">SUMIF(C61:L61,"&lt;&gt;",C61:L61)</f>
        <v>5</v>
      </c>
      <c r="N61" s="46" t="n">
        <f aca="false">(M61/M$15)*50+50</f>
        <v>75</v>
      </c>
      <c r="O61" s="48" t="n">
        <f aca="false">N61*0.3</f>
        <v>22.5</v>
      </c>
      <c r="P61" s="45" t="n">
        <v>88</v>
      </c>
      <c r="Q61" s="45"/>
      <c r="R61" s="45"/>
      <c r="S61" s="45"/>
      <c r="T61" s="45"/>
      <c r="U61" s="46" t="n">
        <f aca="false">SUMIF(P61:T61,"&lt;&gt;",P61:T61)</f>
        <v>88</v>
      </c>
      <c r="V61" s="46" t="n">
        <f aca="false">(U61/U$15)*50+50</f>
        <v>94</v>
      </c>
      <c r="W61" s="46" t="n">
        <f aca="false">V61*0.2</f>
        <v>18.8</v>
      </c>
      <c r="X61" s="45" t="n">
        <v>88</v>
      </c>
      <c r="Y61" s="46" t="n">
        <f aca="false">(X61/X$15)*50+50</f>
        <v>94</v>
      </c>
      <c r="Z61" s="46" t="n">
        <f aca="false">Y61*0.5</f>
        <v>47</v>
      </c>
      <c r="AA61" s="47" t="n">
        <f aca="false">SUM(Z61,W61,O61)</f>
        <v>88.3</v>
      </c>
      <c r="AB61" s="49"/>
    </row>
    <row r="62" customFormat="false" ht="15" hidden="false" customHeight="false" outlineLevel="0" collapsed="false">
      <c r="A62" s="43" t="n">
        <f aca="false">'Input Data'!B66</f>
        <v>47</v>
      </c>
      <c r="B62" s="44" t="str">
        <f aca="false">'Input Data'!C66</f>
        <v>TAGULALAC, ANDREI CHRISTOPHER RAVINA</v>
      </c>
      <c r="C62" s="45" t="n">
        <v>1</v>
      </c>
      <c r="D62" s="45"/>
      <c r="E62" s="45"/>
      <c r="F62" s="45"/>
      <c r="G62" s="45"/>
      <c r="H62" s="45"/>
      <c r="I62" s="45"/>
      <c r="J62" s="45"/>
      <c r="K62" s="45"/>
      <c r="L62" s="45"/>
      <c r="M62" s="46" t="n">
        <f aca="false">SUMIF(C62:L62,"&lt;&gt;",C62:L62)</f>
        <v>1</v>
      </c>
      <c r="N62" s="46" t="n">
        <f aca="false">(M62/M$15)*50+50</f>
        <v>55</v>
      </c>
      <c r="O62" s="48" t="n">
        <f aca="false">N62*0.3</f>
        <v>16.5</v>
      </c>
      <c r="P62" s="45" t="n">
        <v>80</v>
      </c>
      <c r="Q62" s="45"/>
      <c r="R62" s="45"/>
      <c r="S62" s="45"/>
      <c r="T62" s="45"/>
      <c r="U62" s="46" t="n">
        <f aca="false">SUMIF(P62:T62,"&lt;&gt;",P62:T62)</f>
        <v>80</v>
      </c>
      <c r="V62" s="46" t="n">
        <f aca="false">(U62/U$15)*50+50</f>
        <v>90</v>
      </c>
      <c r="W62" s="46" t="n">
        <f aca="false">V62*0.2</f>
        <v>18</v>
      </c>
      <c r="X62" s="45" t="n">
        <v>80</v>
      </c>
      <c r="Y62" s="46" t="n">
        <f aca="false">(X62/X$15)*50+50</f>
        <v>90</v>
      </c>
      <c r="Z62" s="46" t="n">
        <f aca="false">Y62*0.5</f>
        <v>45</v>
      </c>
      <c r="AA62" s="47" t="n">
        <f aca="false">SUM(Z62,W62,O62)</f>
        <v>79.5</v>
      </c>
      <c r="AB62" s="49"/>
    </row>
    <row r="63" customFormat="false" ht="15" hidden="false" customHeight="false" outlineLevel="0" collapsed="false">
      <c r="A63" s="43" t="n">
        <f aca="false">'Input Data'!B67</f>
        <v>48</v>
      </c>
      <c r="B63" s="44" t="str">
        <f aca="false">'Input Data'!C67</f>
        <v>TANAYA, KENNA ROSE DEE PERDENIA</v>
      </c>
      <c r="C63" s="45" t="n">
        <v>5</v>
      </c>
      <c r="D63" s="45"/>
      <c r="E63" s="45"/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5</v>
      </c>
      <c r="N63" s="46" t="n">
        <f aca="false">(M63/M$15)*50+50</f>
        <v>75</v>
      </c>
      <c r="O63" s="48" t="n">
        <f aca="false">N63*0.3</f>
        <v>22.5</v>
      </c>
      <c r="P63" s="45" t="n">
        <v>88</v>
      </c>
      <c r="Q63" s="45"/>
      <c r="R63" s="45"/>
      <c r="S63" s="45"/>
      <c r="T63" s="45"/>
      <c r="U63" s="46" t="n">
        <f aca="false">SUMIF(P63:T63,"&lt;&gt;",P63:T63)</f>
        <v>88</v>
      </c>
      <c r="V63" s="46" t="n">
        <f aca="false">(U63/U$15)*50+50</f>
        <v>94</v>
      </c>
      <c r="W63" s="46" t="n">
        <f aca="false">V63*0.2</f>
        <v>18.8</v>
      </c>
      <c r="X63" s="45" t="n">
        <v>88</v>
      </c>
      <c r="Y63" s="46" t="n">
        <f aca="false">(X63/X$15)*50+50</f>
        <v>94</v>
      </c>
      <c r="Z63" s="46" t="n">
        <f aca="false">Y63*0.5</f>
        <v>47</v>
      </c>
      <c r="AA63" s="47" t="n">
        <f aca="false">SUM(Z63,W63,O63)</f>
        <v>88.3</v>
      </c>
      <c r="AB63" s="49"/>
    </row>
    <row r="64" customFormat="false" ht="15" hidden="false" customHeight="false" outlineLevel="0" collapsed="false">
      <c r="A64" s="43" t="n">
        <f aca="false">'Input Data'!B68</f>
        <v>49</v>
      </c>
      <c r="B64" s="44" t="str">
        <f aca="false">'Input Data'!C68</f>
        <v>LAPUZ, KEN HUXLEY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0</v>
      </c>
      <c r="N64" s="46" t="n">
        <f aca="false">(M64/M$15)*50+50</f>
        <v>50</v>
      </c>
      <c r="O64" s="48" t="n">
        <f aca="false">N64*0.3</f>
        <v>15</v>
      </c>
      <c r="P64" s="45"/>
      <c r="Q64" s="45"/>
      <c r="R64" s="45"/>
      <c r="S64" s="45"/>
      <c r="T64" s="45"/>
      <c r="U64" s="46" t="n">
        <f aca="false">SUMIF(P64:T64,"&lt;&gt;",P64:T64)</f>
        <v>0</v>
      </c>
      <c r="V64" s="46" t="n">
        <f aca="false">(U64/U$15)*50+50</f>
        <v>50</v>
      </c>
      <c r="W64" s="46" t="n">
        <f aca="false">V64*0.2</f>
        <v>10</v>
      </c>
      <c r="X64" s="45"/>
      <c r="Y64" s="46" t="n">
        <f aca="false">(X64/X$15)*50+50</f>
        <v>50</v>
      </c>
      <c r="Z64" s="46" t="n">
        <f aca="false">Y64*0.5</f>
        <v>25</v>
      </c>
      <c r="AA64" s="47" t="n">
        <f aca="false">SUM(Z64,W64,O64)</f>
        <v>50</v>
      </c>
      <c r="AB64" s="49"/>
    </row>
    <row r="65" customFormat="false" ht="15" hidden="false" customHeight="false" outlineLevel="0" collapsed="false">
      <c r="A65" s="43" t="str">
        <f aca="false">'Input Data'!B69</f>
        <v/>
      </c>
      <c r="B65" s="44" t="n">
        <f aca="false">'Input Data'!C69</f>
        <v>0</v>
      </c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0</v>
      </c>
      <c r="N65" s="46" t="n">
        <f aca="false">(M65/M$15)*50+50</f>
        <v>50</v>
      </c>
      <c r="O65" s="48" t="n">
        <f aca="false">N65*0.3</f>
        <v>15</v>
      </c>
      <c r="P65" s="45"/>
      <c r="Q65" s="45"/>
      <c r="R65" s="45"/>
      <c r="S65" s="45"/>
      <c r="T65" s="45"/>
      <c r="U65" s="46" t="n">
        <f aca="false">SUMIF(P65:T65,"&lt;&gt;",P65:T65)</f>
        <v>0</v>
      </c>
      <c r="V65" s="46" t="n">
        <f aca="false">(U65/U$15)*50+50</f>
        <v>50</v>
      </c>
      <c r="W65" s="46" t="n">
        <f aca="false">V65*0.2</f>
        <v>10</v>
      </c>
      <c r="X65" s="45"/>
      <c r="Y65" s="46" t="n">
        <f aca="false">(X65/X$15)*50+50</f>
        <v>50</v>
      </c>
      <c r="Z65" s="46" t="n">
        <f aca="false">Y65*0.5</f>
        <v>25</v>
      </c>
      <c r="AA65" s="47" t="n">
        <f aca="false">SUM(Z65,W65,O65)</f>
        <v>50</v>
      </c>
      <c r="AB65" s="49"/>
    </row>
    <row r="66" customFormat="false" ht="15" hidden="false" customHeight="false" outlineLevel="0" collapsed="false">
      <c r="A66" s="43" t="str">
        <f aca="false">'Input Data'!B70</f>
        <v/>
      </c>
      <c r="B66" s="44" t="n">
        <f aca="false">'Input Data'!C70</f>
        <v>0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0</v>
      </c>
      <c r="N66" s="46" t="n">
        <f aca="false">(M66/M$15)*50+50</f>
        <v>50</v>
      </c>
      <c r="O66" s="48" t="n">
        <f aca="false">N66*0.3</f>
        <v>15</v>
      </c>
      <c r="P66" s="45"/>
      <c r="Q66" s="45"/>
      <c r="R66" s="45"/>
      <c r="S66" s="45"/>
      <c r="T66" s="45"/>
      <c r="U66" s="46" t="n">
        <f aca="false">SUMIF(P66:T66,"&lt;&gt;",P66:T66)</f>
        <v>0</v>
      </c>
      <c r="V66" s="46" t="n">
        <f aca="false">(U66/U$15)*50+50</f>
        <v>50</v>
      </c>
      <c r="W66" s="46" t="n">
        <f aca="false">V66*0.2</f>
        <v>10</v>
      </c>
      <c r="X66" s="45"/>
      <c r="Y66" s="46" t="n">
        <f aca="false">(X66/X$15)*50+50</f>
        <v>50</v>
      </c>
      <c r="Z66" s="46" t="n">
        <f aca="false">Y66*0.5</f>
        <v>25</v>
      </c>
      <c r="AA66" s="47" t="n">
        <f aca="false">SUM(Z66,W66,O66)</f>
        <v>50</v>
      </c>
      <c r="AB66" s="49"/>
    </row>
    <row r="67" customFormat="false" ht="15" hidden="false" customHeight="false" outlineLevel="0" collapsed="false">
      <c r="A67" s="43" t="str">
        <f aca="false">'Input Data'!B71</f>
        <v/>
      </c>
      <c r="B67" s="44" t="n">
        <f aca="false">'Input Data'!C71</f>
        <v>0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0</v>
      </c>
      <c r="N67" s="46" t="n">
        <f aca="false">(M67/M$15)*50+50</f>
        <v>50</v>
      </c>
      <c r="O67" s="48" t="n">
        <f aca="false">N67*0.3</f>
        <v>15</v>
      </c>
      <c r="P67" s="45"/>
      <c r="Q67" s="45"/>
      <c r="R67" s="45"/>
      <c r="S67" s="45"/>
      <c r="T67" s="45"/>
      <c r="U67" s="46" t="n">
        <f aca="false">SUMIF(P67:T67,"&lt;&gt;",P67:T67)</f>
        <v>0</v>
      </c>
      <c r="V67" s="46" t="n">
        <f aca="false">(U67/U$15)*50+50</f>
        <v>50</v>
      </c>
      <c r="W67" s="46" t="n">
        <f aca="false">V67*0.2</f>
        <v>10</v>
      </c>
      <c r="X67" s="45"/>
      <c r="Y67" s="46" t="n">
        <f aca="false">(X67/X$15)*50+50</f>
        <v>50</v>
      </c>
      <c r="Z67" s="46" t="n">
        <f aca="false">Y67*0.5</f>
        <v>25</v>
      </c>
      <c r="AA67" s="47" t="n">
        <f aca="false">SUM(Z67,W67,O67)</f>
        <v>50</v>
      </c>
      <c r="AB67" s="49"/>
    </row>
    <row r="68" customFormat="false" ht="15" hidden="false" customHeight="false" outlineLevel="0" collapsed="false">
      <c r="A68" s="43" t="str">
        <f aca="false">'Input Data'!B72</f>
        <v/>
      </c>
      <c r="B68" s="44" t="n">
        <f aca="false">'Input Data'!C72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0</v>
      </c>
      <c r="N68" s="46" t="n">
        <f aca="false">(M68/M$15)*50+50</f>
        <v>50</v>
      </c>
      <c r="O68" s="48" t="n">
        <f aca="false">N68*0.3</f>
        <v>15</v>
      </c>
      <c r="P68" s="45"/>
      <c r="Q68" s="45"/>
      <c r="R68" s="45"/>
      <c r="S68" s="45"/>
      <c r="T68" s="45"/>
      <c r="U68" s="46" t="n">
        <f aca="false">SUMIF(P68:T68,"&lt;&gt;",P68:T68)</f>
        <v>0</v>
      </c>
      <c r="V68" s="46" t="n">
        <f aca="false">(U68/U$15)*50+50</f>
        <v>50</v>
      </c>
      <c r="W68" s="46" t="n">
        <f aca="false">V68*0.2</f>
        <v>10</v>
      </c>
      <c r="X68" s="45"/>
      <c r="Y68" s="46" t="n">
        <f aca="false">(X68/X$15)*50+50</f>
        <v>50</v>
      </c>
      <c r="Z68" s="46" t="n">
        <f aca="false">Y68*0.5</f>
        <v>25</v>
      </c>
      <c r="AA68" s="47" t="n">
        <f aca="false">SUM(Z68,W68,O68)</f>
        <v>50</v>
      </c>
      <c r="AB68" s="49"/>
    </row>
    <row r="69" customFormat="false" ht="15" hidden="false" customHeight="false" outlineLevel="0" collapsed="false">
      <c r="A69" s="43" t="str">
        <f aca="false">'Input Data'!B73</f>
        <v/>
      </c>
      <c r="B69" s="44" t="n">
        <f aca="false">'Input Data'!C73</f>
        <v>0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0</v>
      </c>
      <c r="N69" s="46" t="n">
        <f aca="false">(M69/M$15)*50+50</f>
        <v>50</v>
      </c>
      <c r="O69" s="48" t="n">
        <f aca="false">N69*0.3</f>
        <v>15</v>
      </c>
      <c r="P69" s="45"/>
      <c r="Q69" s="45"/>
      <c r="R69" s="45"/>
      <c r="S69" s="45"/>
      <c r="T69" s="45"/>
      <c r="U69" s="46" t="n">
        <f aca="false">SUMIF(P69:T69,"&lt;&gt;",P69:T69)</f>
        <v>0</v>
      </c>
      <c r="V69" s="46" t="n">
        <f aca="false">(U69/U$15)*50+50</f>
        <v>50</v>
      </c>
      <c r="W69" s="46" t="n">
        <f aca="false">V69*0.2</f>
        <v>10</v>
      </c>
      <c r="X69" s="45"/>
      <c r="Y69" s="46" t="n">
        <f aca="false">(X69/X$15)*50+50</f>
        <v>50</v>
      </c>
      <c r="Z69" s="46" t="n">
        <f aca="false">Y69*0.5</f>
        <v>25</v>
      </c>
      <c r="AA69" s="47" t="n">
        <f aca="false">SUM(Z69,W69,O69)</f>
        <v>50</v>
      </c>
      <c r="AB69" s="49"/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  <c r="AB70" s="49"/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</row>
    <row r="80" customFormat="false" ht="15" hidden="false" customHeight="false" outlineLevel="0" collapsed="false">
      <c r="A80" s="43" t="n">
        <f aca="false">'Input Data'!B84</f>
        <v>0</v>
      </c>
      <c r="B80" s="44" t="n">
        <f aca="false">'Input Data'!C84</f>
        <v>0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6" t="n">
        <f aca="false">SUMIF(C80:L80,"&lt;&gt;",C80:L80)</f>
        <v>0</v>
      </c>
      <c r="N80" s="46" t="n">
        <f aca="false">(M80/M$15)*50+50</f>
        <v>50</v>
      </c>
      <c r="O80" s="48" t="n">
        <f aca="false">N80*0.3</f>
        <v>15</v>
      </c>
      <c r="P80" s="45"/>
      <c r="Q80" s="45"/>
      <c r="R80" s="45"/>
      <c r="S80" s="45"/>
      <c r="T80" s="45"/>
      <c r="U80" s="46" t="n">
        <f aca="false">SUMIF(P80:T80,"&lt;&gt;",P80:T80)</f>
        <v>0</v>
      </c>
      <c r="V80" s="46" t="n">
        <f aca="false">(U80/U$15)*50+50</f>
        <v>50</v>
      </c>
      <c r="W80" s="46" t="n">
        <f aca="false">V80*0.2</f>
        <v>10</v>
      </c>
      <c r="X80" s="45"/>
      <c r="Y80" s="46" t="n">
        <f aca="false">(X80/X$15)*50+50</f>
        <v>50</v>
      </c>
      <c r="Z80" s="46" t="n">
        <f aca="false">Y80*0.5</f>
        <v>25</v>
      </c>
      <c r="AA80" s="47" t="n">
        <f aca="false">SUM(Z80,W80,O80)</f>
        <v>50</v>
      </c>
    </row>
    <row r="81" customFormat="false" ht="15" hidden="false" customHeight="false" outlineLevel="0" collapsed="false">
      <c r="A81" s="43" t="n">
        <f aca="false">'Input Data'!B85</f>
        <v>0</v>
      </c>
      <c r="B81" s="44" t="n">
        <f aca="false">'Input Data'!C85</f>
        <v>0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6" t="n">
        <f aca="false">SUMIF(C81:L81,"&lt;&gt;",C81:L81)</f>
        <v>0</v>
      </c>
      <c r="N81" s="46" t="n">
        <f aca="false">(M81/M$15)*50+50</f>
        <v>50</v>
      </c>
      <c r="O81" s="48" t="n">
        <f aca="false">N81*0.3</f>
        <v>15</v>
      </c>
      <c r="P81" s="45"/>
      <c r="Q81" s="45"/>
      <c r="R81" s="45"/>
      <c r="S81" s="45"/>
      <c r="T81" s="45"/>
      <c r="U81" s="46" t="n">
        <f aca="false">SUMIF(P81:T81,"&lt;&gt;",P81:T81)</f>
        <v>0</v>
      </c>
      <c r="V81" s="46" t="n">
        <f aca="false">(U81/U$15)*50+50</f>
        <v>50</v>
      </c>
      <c r="W81" s="46" t="n">
        <f aca="false">V81*0.2</f>
        <v>10</v>
      </c>
      <c r="X81" s="45"/>
      <c r="Y81" s="46" t="n">
        <f aca="false">(X81/X$15)*50+50</f>
        <v>50</v>
      </c>
      <c r="Z81" s="46" t="n">
        <f aca="false">Y81*0.5</f>
        <v>25</v>
      </c>
      <c r="AA81" s="47" t="n">
        <f aca="false">SUM(Z81,W81,O81)</f>
        <v>50</v>
      </c>
    </row>
    <row r="82" customFormat="false" ht="15" hidden="false" customHeight="false" outlineLevel="0" collapsed="false">
      <c r="A82" s="43" t="n">
        <f aca="false">'Input Data'!B86</f>
        <v>0</v>
      </c>
      <c r="B82" s="44" t="n">
        <f aca="false">'Input Data'!C86</f>
        <v>0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6" t="n">
        <f aca="false">SUMIF(C82:L82,"&lt;&gt;",C82:L82)</f>
        <v>0</v>
      </c>
      <c r="N82" s="46" t="n">
        <f aca="false">(M82/M$15)*50+50</f>
        <v>50</v>
      </c>
      <c r="O82" s="48" t="n">
        <f aca="false">N82*0.3</f>
        <v>15</v>
      </c>
      <c r="P82" s="45"/>
      <c r="Q82" s="45"/>
      <c r="R82" s="45"/>
      <c r="S82" s="45"/>
      <c r="T82" s="45"/>
      <c r="U82" s="46" t="n">
        <f aca="false">SUMIF(P82:T82,"&lt;&gt;",P82:T82)</f>
        <v>0</v>
      </c>
      <c r="V82" s="46" t="n">
        <f aca="false">(U82/U$15)*50+50</f>
        <v>50</v>
      </c>
      <c r="W82" s="46" t="n">
        <f aca="false">V82*0.2</f>
        <v>10</v>
      </c>
      <c r="X82" s="45"/>
      <c r="Y82" s="46" t="n">
        <f aca="false">(X82/X$15)*50+50</f>
        <v>50</v>
      </c>
      <c r="Z82" s="46" t="n">
        <f aca="false">Y82*0.5</f>
        <v>25</v>
      </c>
      <c r="AA82" s="47" t="n">
        <f aca="false">SUM(Z82,W82,O82)</f>
        <v>50</v>
      </c>
    </row>
    <row r="83" customFormat="false" ht="15" hidden="false" customHeight="false" outlineLevel="0" collapsed="false">
      <c r="A83" s="43" t="n">
        <f aca="false">'Input Data'!B87</f>
        <v>0</v>
      </c>
      <c r="B83" s="44" t="n">
        <f aca="false">'Input Data'!C87</f>
        <v>0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6" t="n">
        <f aca="false">SUMIF(C83:L83,"&lt;&gt;",C83:L83)</f>
        <v>0</v>
      </c>
      <c r="N83" s="46" t="n">
        <f aca="false">(M83/M$15)*50+50</f>
        <v>50</v>
      </c>
      <c r="O83" s="48" t="n">
        <f aca="false">N83*0.3</f>
        <v>15</v>
      </c>
      <c r="P83" s="45"/>
      <c r="Q83" s="45"/>
      <c r="R83" s="45"/>
      <c r="S83" s="45"/>
      <c r="T83" s="45"/>
      <c r="U83" s="46" t="n">
        <f aca="false">SUMIF(P83:T83,"&lt;&gt;",P83:T83)</f>
        <v>0</v>
      </c>
      <c r="V83" s="46" t="n">
        <f aca="false">(U83/U$15)*50+50</f>
        <v>50</v>
      </c>
      <c r="W83" s="46" t="n">
        <f aca="false">V83*0.2</f>
        <v>10</v>
      </c>
      <c r="X83" s="45"/>
      <c r="Y83" s="46" t="n">
        <f aca="false">(X83/X$15)*50+50</f>
        <v>50</v>
      </c>
      <c r="Z83" s="46" t="n">
        <f aca="false">Y83*0.5</f>
        <v>25</v>
      </c>
      <c r="AA83" s="47" t="n">
        <f aca="false">SUM(Z83,W83,O83)</f>
        <v>50</v>
      </c>
    </row>
    <row r="84" customFormat="false" ht="15" hidden="false" customHeight="false" outlineLevel="0" collapsed="false">
      <c r="A84" s="43" t="n">
        <f aca="false">'Input Data'!B88</f>
        <v>0</v>
      </c>
      <c r="B84" s="44" t="n">
        <f aca="false">'Input Data'!C88</f>
        <v>0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6" t="n">
        <f aca="false">SUMIF(C84:L84,"&lt;&gt;",C84:L84)</f>
        <v>0</v>
      </c>
      <c r="N84" s="46" t="n">
        <f aca="false">(M84/M$15)*50+50</f>
        <v>50</v>
      </c>
      <c r="O84" s="48" t="n">
        <f aca="false">N84*0.3</f>
        <v>15</v>
      </c>
      <c r="P84" s="45"/>
      <c r="Q84" s="45"/>
      <c r="R84" s="45"/>
      <c r="S84" s="45"/>
      <c r="T84" s="45"/>
      <c r="U84" s="46" t="n">
        <f aca="false">SUMIF(P84:T84,"&lt;&gt;",P84:T84)</f>
        <v>0</v>
      </c>
      <c r="V84" s="46" t="n">
        <f aca="false">(U84/U$15)*50+50</f>
        <v>50</v>
      </c>
      <c r="W84" s="46" t="n">
        <f aca="false">V84*0.2</f>
        <v>10</v>
      </c>
      <c r="X84" s="45"/>
      <c r="Y84" s="46" t="n">
        <f aca="false">(X84/X$15)*50+50</f>
        <v>50</v>
      </c>
      <c r="Z84" s="46" t="n">
        <f aca="false">Y84*0.5</f>
        <v>25</v>
      </c>
      <c r="AA84" s="47" t="n">
        <f aca="false">SUM(Z84,W84,O84)</f>
        <v>50</v>
      </c>
    </row>
  </sheetData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84">
    <cfRule type="cellIs" priority="2" operator="lessThan" aboveAverage="0" equalAverage="0" bottom="0" percent="0" rank="0" text="" dxfId="9">
      <formula>74.5</formula>
    </cfRule>
  </conditionalFormatting>
  <conditionalFormatting sqref="A16:AA84">
    <cfRule type="expression" priority="3" aboveAverage="0" equalAverage="0" bottom="0" percent="0" rank="0" text="" dxfId="10">
      <formula>ROW()=CELL("ROW")</formula>
    </cfRule>
  </conditionalFormatting>
  <dataValidations count="16">
    <dataValidation allowBlank="true" errorStyle="stop" operator="between" showDropDown="false" showErrorMessage="true" showInputMessage="true" sqref="X16:X84" type="whole">
      <formula1>0</formula1>
      <formula2>$X$15</formula2>
    </dataValidation>
    <dataValidation allowBlank="true" errorStyle="stop" operator="between" showDropDown="false" showErrorMessage="true" showInputMessage="true" sqref="C16:C84" type="whole">
      <formula1>0</formula1>
      <formula2>$C$15</formula2>
    </dataValidation>
    <dataValidation allowBlank="true" errorStyle="stop" operator="between" showDropDown="false" showErrorMessage="true" showInputMessage="true" sqref="D16:D84" type="whole">
      <formula1>0</formula1>
      <formula2>$D$15</formula2>
    </dataValidation>
    <dataValidation allowBlank="true" errorStyle="stop" operator="between" showDropDown="false" showErrorMessage="true" showInputMessage="true" sqref="J16:J84" type="whole">
      <formula1>0</formula1>
      <formula2>$J$15</formula2>
    </dataValidation>
    <dataValidation allowBlank="true" errorStyle="stop" operator="between" showDropDown="false" showErrorMessage="true" showInputMessage="true" sqref="K16:K84" type="whole">
      <formula1>0</formula1>
      <formula2>$K$15</formula2>
    </dataValidation>
    <dataValidation allowBlank="true" errorStyle="stop" operator="between" showDropDown="false" showErrorMessage="true" showInputMessage="true" sqref="L16:L84" type="whole">
      <formula1>0</formula1>
      <formula2>$L$15</formula2>
    </dataValidation>
    <dataValidation allowBlank="true" errorStyle="stop" operator="between" showDropDown="false" showErrorMessage="true" showInputMessage="true" sqref="P16:P84" type="whole">
      <formula1>0</formula1>
      <formula2>$P$15</formula2>
    </dataValidation>
    <dataValidation allowBlank="true" errorStyle="stop" operator="between" showDropDown="false" showErrorMessage="true" showInputMessage="true" sqref="S16:S84" type="whole">
      <formula1>0</formula1>
      <formula2>$S$15</formula2>
    </dataValidation>
    <dataValidation allowBlank="true" errorStyle="stop" operator="between" showDropDown="false" showErrorMessage="true" showInputMessage="true" sqref="T16:T84" type="whole">
      <formula1>0</formula1>
      <formula2>$T$15</formula2>
    </dataValidation>
    <dataValidation allowBlank="true" errorStyle="stop" operator="between" showDropDown="false" showErrorMessage="true" showInputMessage="true" sqref="E16:E84" type="whole">
      <formula1>0</formula1>
      <formula2>$E$15</formula2>
    </dataValidation>
    <dataValidation allowBlank="true" errorStyle="stop" operator="between" showDropDown="false" showErrorMessage="true" showInputMessage="true" sqref="F16:F84" type="whole">
      <formula1>0</formula1>
      <formula2>$F$15</formula2>
    </dataValidation>
    <dataValidation allowBlank="true" errorStyle="stop" operator="between" showDropDown="false" showErrorMessage="true" showInputMessage="true" sqref="G16:G84" type="whole">
      <formula1>0</formula1>
      <formula2>$G$15</formula2>
    </dataValidation>
    <dataValidation allowBlank="true" errorStyle="stop" operator="between" showDropDown="false" showErrorMessage="true" showInputMessage="true" sqref="H16:H84" type="whole">
      <formula1>0</formula1>
      <formula2>$H$15</formula2>
    </dataValidation>
    <dataValidation allowBlank="true" errorStyle="stop" operator="between" showDropDown="false" showErrorMessage="true" showInputMessage="true" sqref="I16:I84" type="whole">
      <formula1>0</formula1>
      <formula2>$I$15</formula2>
    </dataValidation>
    <dataValidation allowBlank="true" errorStyle="stop" operator="between" showDropDown="false" showErrorMessage="true" showInputMessage="true" sqref="Q16:Q84" type="whole">
      <formula1>0</formula1>
      <formula2>$Q$15</formula2>
    </dataValidation>
    <dataValidation allowBlank="true" errorStyle="stop" operator="between" showDropDown="false" showErrorMessage="true" showInputMessage="true" sqref="R16:R84" type="whole">
      <formula1>0</formula1>
      <formula2>$R$15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G86"/>
  <sheetViews>
    <sheetView showFormulas="false" showGridLines="false" showRowColHeaders="true" showZeros="false" rightToLeft="false" tabSelected="false" showOutlineSymbols="true" defaultGridColor="true" view="normal" topLeftCell="A25" colorId="64" zoomScale="75" zoomScaleNormal="75" zoomScalePageLayoutView="100" workbookViewId="0">
      <selection pane="topLeft" activeCell="X25" activeCellId="0" sqref="X25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93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ITE 104 – Web System and Application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67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68</v>
      </c>
      <c r="Q13" s="29"/>
      <c r="R13" s="29"/>
      <c r="S13" s="29"/>
      <c r="T13" s="29"/>
      <c r="U13" s="29"/>
      <c r="V13" s="29"/>
      <c r="W13" s="29"/>
      <c r="X13" s="31" t="s">
        <v>69</v>
      </c>
      <c r="Y13" s="31"/>
      <c r="Z13" s="31"/>
      <c r="AA13" s="32" t="s">
        <v>70</v>
      </c>
    </row>
    <row r="14" customFormat="false" ht="15" hidden="false" customHeight="false" outlineLevel="0" collapsed="false">
      <c r="A14" s="33"/>
      <c r="B14" s="34"/>
      <c r="C14" s="35" t="s">
        <v>71</v>
      </c>
      <c r="D14" s="35" t="s">
        <v>72</v>
      </c>
      <c r="E14" s="35" t="s">
        <v>73</v>
      </c>
      <c r="F14" s="35" t="s">
        <v>74</v>
      </c>
      <c r="G14" s="35" t="s">
        <v>75</v>
      </c>
      <c r="H14" s="35" t="s">
        <v>76</v>
      </c>
      <c r="I14" s="35" t="s">
        <v>77</v>
      </c>
      <c r="J14" s="35" t="s">
        <v>78</v>
      </c>
      <c r="K14" s="35" t="s">
        <v>79</v>
      </c>
      <c r="L14" s="35" t="s">
        <v>80</v>
      </c>
      <c r="M14" s="35" t="s">
        <v>81</v>
      </c>
      <c r="N14" s="35" t="s">
        <v>82</v>
      </c>
      <c r="O14" s="35" t="s">
        <v>83</v>
      </c>
      <c r="P14" s="35" t="s">
        <v>84</v>
      </c>
      <c r="Q14" s="35" t="s">
        <v>85</v>
      </c>
      <c r="R14" s="35" t="s">
        <v>86</v>
      </c>
      <c r="S14" s="35" t="s">
        <v>87</v>
      </c>
      <c r="T14" s="35" t="s">
        <v>88</v>
      </c>
      <c r="U14" s="35" t="s">
        <v>81</v>
      </c>
      <c r="V14" s="35" t="s">
        <v>82</v>
      </c>
      <c r="W14" s="35" t="s">
        <v>83</v>
      </c>
      <c r="X14" s="36" t="s">
        <v>94</v>
      </c>
      <c r="Y14" s="36" t="s">
        <v>82</v>
      </c>
      <c r="Z14" s="37" t="s">
        <v>83</v>
      </c>
      <c r="AA14" s="32"/>
    </row>
    <row r="15" customFormat="false" ht="15" hidden="false" customHeight="false" outlineLevel="0" collapsed="false">
      <c r="A15" s="38"/>
      <c r="B15" s="39" t="s">
        <v>90</v>
      </c>
      <c r="C15" s="40" t="n">
        <v>20</v>
      </c>
      <c r="D15" s="40" t="n">
        <v>10</v>
      </c>
      <c r="E15" s="40"/>
      <c r="F15" s="40"/>
      <c r="G15" s="40"/>
      <c r="H15" s="40"/>
      <c r="I15" s="40"/>
      <c r="J15" s="40"/>
      <c r="K15" s="40"/>
      <c r="L15" s="40"/>
      <c r="M15" s="41" t="n">
        <f aca="false">SUMIF(C15:L15,"&lt;&gt;",C15:L15)</f>
        <v>30</v>
      </c>
      <c r="N15" s="41" t="n">
        <f aca="false">(M15/M$15)*50+50</f>
        <v>100</v>
      </c>
      <c r="O15" s="42" t="n">
        <v>0.3</v>
      </c>
      <c r="P15" s="40" t="n">
        <v>100</v>
      </c>
      <c r="Q15" s="40"/>
      <c r="R15" s="40"/>
      <c r="S15" s="40"/>
      <c r="T15" s="40"/>
      <c r="U15" s="41" t="n">
        <f aca="false">SUMIF(P15:T15,"&lt;&gt;",P15:T15)</f>
        <v>100</v>
      </c>
      <c r="V15" s="41" t="n">
        <f aca="false">(U15/U$15)*50+50</f>
        <v>100</v>
      </c>
      <c r="W15" s="42" t="n">
        <v>0.2</v>
      </c>
      <c r="X15" s="40" t="n">
        <v>100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EGCA, JOHN CRIS GAYARES</v>
      </c>
      <c r="C16" s="45" t="n">
        <v>10</v>
      </c>
      <c r="D16" s="45" t="n">
        <v>8</v>
      </c>
      <c r="E16" s="45"/>
      <c r="F16" s="45"/>
      <c r="G16" s="45"/>
      <c r="H16" s="45"/>
      <c r="I16" s="45"/>
      <c r="J16" s="45"/>
      <c r="K16" s="45"/>
      <c r="L16" s="45"/>
      <c r="M16" s="46" t="n">
        <f aca="false">SUMIF(C16:L16,"&lt;&gt;",C16:L16)</f>
        <v>18</v>
      </c>
      <c r="N16" s="46" t="n">
        <f aca="false">(M16/M$15)*50+50</f>
        <v>80</v>
      </c>
      <c r="O16" s="46" t="n">
        <f aca="false">N16*0.3</f>
        <v>24</v>
      </c>
      <c r="P16" s="45" t="n">
        <v>85</v>
      </c>
      <c r="Q16" s="45"/>
      <c r="R16" s="45"/>
      <c r="S16" s="45"/>
      <c r="T16" s="45"/>
      <c r="U16" s="46" t="n">
        <f aca="false">SUMIF(P16:T16,"&lt;&gt;",P16:T16)</f>
        <v>85</v>
      </c>
      <c r="V16" s="46" t="n">
        <f aca="false">(U16/U$15)*50+50</f>
        <v>92.5</v>
      </c>
      <c r="W16" s="46" t="n">
        <f aca="false">V16*0.2</f>
        <v>18.5</v>
      </c>
      <c r="X16" s="45" t="n">
        <v>60</v>
      </c>
      <c r="Y16" s="46" t="n">
        <f aca="false">(X16/X$15)*50+50</f>
        <v>80</v>
      </c>
      <c r="Z16" s="46" t="n">
        <f aca="false">Y16*0.5</f>
        <v>40</v>
      </c>
      <c r="AA16" s="47" t="n">
        <f aca="false">SUM(Z16,W16,O16)</f>
        <v>82.5</v>
      </c>
      <c r="AB16" s="50"/>
      <c r="AC16" s="51"/>
      <c r="AD16" s="51"/>
      <c r="AE16" s="51"/>
      <c r="AF16" s="51"/>
      <c r="AG16" s="51"/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ESCABARTE, MARK GIL PEDRAJAS</v>
      </c>
      <c r="C17" s="45" t="n">
        <v>12</v>
      </c>
      <c r="D17" s="45" t="n">
        <v>6</v>
      </c>
      <c r="E17" s="45"/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18</v>
      </c>
      <c r="N17" s="46" t="n">
        <f aca="false">(M17/M$15)*50+50</f>
        <v>80</v>
      </c>
      <c r="O17" s="46" t="n">
        <f aca="false">N17*0.3</f>
        <v>24</v>
      </c>
      <c r="P17" s="45" t="n">
        <v>90</v>
      </c>
      <c r="Q17" s="45"/>
      <c r="R17" s="45"/>
      <c r="S17" s="45"/>
      <c r="T17" s="45"/>
      <c r="U17" s="46" t="n">
        <f aca="false">SUMIF(P17:T17,"&lt;&gt;",P17:T17)</f>
        <v>90</v>
      </c>
      <c r="V17" s="46" t="n">
        <f aca="false">(U17/U$15)*50+50</f>
        <v>95</v>
      </c>
      <c r="W17" s="46" t="n">
        <f aca="false">V17*0.2</f>
        <v>19</v>
      </c>
      <c r="X17" s="45" t="n">
        <v>66</v>
      </c>
      <c r="Y17" s="46" t="n">
        <f aca="false">(X17/X$15)*50+50</f>
        <v>83</v>
      </c>
      <c r="Z17" s="46" t="n">
        <f aca="false">Y17*0.5</f>
        <v>41.5</v>
      </c>
      <c r="AA17" s="47" t="n">
        <f aca="false">SUM(Z17,W17,O17)</f>
        <v>84.5</v>
      </c>
      <c r="AB17" s="50"/>
      <c r="AC17" s="51"/>
      <c r="AD17" s="51"/>
      <c r="AE17" s="51"/>
      <c r="AF17" s="51"/>
      <c r="AG17" s="51"/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ESCALANTE, BRYAN JAY SUBARDIAGA</v>
      </c>
      <c r="C18" s="45" t="n">
        <v>10</v>
      </c>
      <c r="D18" s="45" t="n">
        <v>8</v>
      </c>
      <c r="E18" s="45"/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18</v>
      </c>
      <c r="N18" s="46" t="n">
        <f aca="false">(M18/M$15)*50+50</f>
        <v>80</v>
      </c>
      <c r="O18" s="46" t="n">
        <f aca="false">N18*0.3</f>
        <v>24</v>
      </c>
      <c r="P18" s="45" t="n">
        <v>90</v>
      </c>
      <c r="Q18" s="45"/>
      <c r="R18" s="45"/>
      <c r="S18" s="45"/>
      <c r="T18" s="45"/>
      <c r="U18" s="46" t="n">
        <f aca="false">SUMIF(P18:T18,"&lt;&gt;",P18:T18)</f>
        <v>90</v>
      </c>
      <c r="V18" s="46" t="n">
        <f aca="false">(U18/U$15)*50+50</f>
        <v>95</v>
      </c>
      <c r="W18" s="46" t="n">
        <f aca="false">V18*0.2</f>
        <v>19</v>
      </c>
      <c r="X18" s="45" t="n">
        <v>60</v>
      </c>
      <c r="Y18" s="46" t="n">
        <f aca="false">(X18/X$15)*50+50</f>
        <v>80</v>
      </c>
      <c r="Z18" s="46" t="n">
        <f aca="false">Y18*0.5</f>
        <v>40</v>
      </c>
      <c r="AA18" s="47" t="n">
        <f aca="false">SUM(Z18,W18,O18)</f>
        <v>83</v>
      </c>
      <c r="AB18" s="50"/>
      <c r="AC18" s="51"/>
      <c r="AD18" s="51"/>
      <c r="AE18" s="51"/>
      <c r="AF18" s="51"/>
      <c r="AG18" s="51"/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ESTOYA, JILWIN JOSEPH LHIAN  PEÑFLORIDA</v>
      </c>
      <c r="C19" s="45" t="n">
        <v>10</v>
      </c>
      <c r="D19" s="45" t="n">
        <v>8</v>
      </c>
      <c r="E19" s="45"/>
      <c r="F19" s="45"/>
      <c r="G19" s="45"/>
      <c r="H19" s="45"/>
      <c r="I19" s="45"/>
      <c r="J19" s="45"/>
      <c r="K19" s="45"/>
      <c r="L19" s="45"/>
      <c r="M19" s="46" t="n">
        <f aca="false">SUMIF(C19:L19,"&lt;&gt;",C19:L19)</f>
        <v>18</v>
      </c>
      <c r="N19" s="46" t="n">
        <f aca="false">(M19/M$15)*50+50</f>
        <v>80</v>
      </c>
      <c r="O19" s="46" t="n">
        <f aca="false">N19*0.3</f>
        <v>24</v>
      </c>
      <c r="P19" s="45" t="n">
        <v>90</v>
      </c>
      <c r="Q19" s="45"/>
      <c r="R19" s="45"/>
      <c r="S19" s="45"/>
      <c r="T19" s="45"/>
      <c r="U19" s="46" t="n">
        <f aca="false">SUMIF(P19:T19,"&lt;&gt;",P19:T19)</f>
        <v>90</v>
      </c>
      <c r="V19" s="46" t="n">
        <f aca="false">(U19/U$15)*50+50</f>
        <v>95</v>
      </c>
      <c r="W19" s="46" t="n">
        <f aca="false">V19*0.2</f>
        <v>19</v>
      </c>
      <c r="X19" s="45" t="n">
        <v>60</v>
      </c>
      <c r="Y19" s="46" t="n">
        <f aca="false">(X19/X$15)*50+50</f>
        <v>80</v>
      </c>
      <c r="Z19" s="46" t="n">
        <f aca="false">Y19*0.5</f>
        <v>40</v>
      </c>
      <c r="AA19" s="47" t="n">
        <f aca="false">SUM(Z19,W19,O19)</f>
        <v>83</v>
      </c>
      <c r="AB19" s="50"/>
      <c r="AC19" s="51"/>
      <c r="AD19" s="51"/>
      <c r="AE19" s="51"/>
      <c r="AF19" s="51"/>
      <c r="AG19" s="51"/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FAMOSO, ALTHEA ENRIQUEZ</v>
      </c>
      <c r="C20" s="45" t="n">
        <v>20</v>
      </c>
      <c r="D20" s="45" t="n">
        <v>9</v>
      </c>
      <c r="E20" s="45"/>
      <c r="F20" s="45"/>
      <c r="G20" s="45"/>
      <c r="H20" s="45"/>
      <c r="I20" s="45"/>
      <c r="J20" s="45"/>
      <c r="K20" s="45"/>
      <c r="L20" s="45"/>
      <c r="M20" s="46" t="n">
        <f aca="false">SUMIF(C20:L20,"&lt;&gt;",C20:L20)</f>
        <v>29</v>
      </c>
      <c r="N20" s="46" t="n">
        <f aca="false">(M20/M$15)*50+50</f>
        <v>98.3333333333333</v>
      </c>
      <c r="O20" s="46" t="n">
        <f aca="false">N20*0.3</f>
        <v>29.5</v>
      </c>
      <c r="P20" s="45" t="n">
        <v>95</v>
      </c>
      <c r="Q20" s="45"/>
      <c r="R20" s="45"/>
      <c r="S20" s="45"/>
      <c r="T20" s="45"/>
      <c r="U20" s="46" t="n">
        <f aca="false">SUMIF(P20:T20,"&lt;&gt;",P20:T20)</f>
        <v>95</v>
      </c>
      <c r="V20" s="46" t="n">
        <f aca="false">(U20/U$15)*50+50</f>
        <v>97.5</v>
      </c>
      <c r="W20" s="46" t="n">
        <f aca="false">V20*0.2</f>
        <v>19.5</v>
      </c>
      <c r="X20" s="45" t="n">
        <v>87</v>
      </c>
      <c r="Y20" s="46" t="n">
        <f aca="false">(X20/X$15)*50+50</f>
        <v>93.5</v>
      </c>
      <c r="Z20" s="46" t="n">
        <f aca="false">Y20*0.5</f>
        <v>46.75</v>
      </c>
      <c r="AA20" s="47" t="n">
        <f aca="false">SUM(Z20,W20,O20)</f>
        <v>95.75</v>
      </c>
      <c r="AB20" s="50"/>
      <c r="AC20" s="51"/>
      <c r="AD20" s="51"/>
      <c r="AE20" s="51"/>
      <c r="AF20" s="51"/>
      <c r="AG20" s="51"/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FAMOSO, CARL TIA</v>
      </c>
      <c r="C21" s="45" t="n">
        <v>13</v>
      </c>
      <c r="D21" s="45" t="n">
        <v>9</v>
      </c>
      <c r="E21" s="45"/>
      <c r="F21" s="45"/>
      <c r="G21" s="45"/>
      <c r="H21" s="45"/>
      <c r="I21" s="45"/>
      <c r="J21" s="45"/>
      <c r="K21" s="45"/>
      <c r="L21" s="45"/>
      <c r="M21" s="46" t="n">
        <f aca="false">SUMIF(C21:L21,"&lt;&gt;",C21:L21)</f>
        <v>22</v>
      </c>
      <c r="N21" s="46" t="n">
        <f aca="false">(M21/M$15)*50+50</f>
        <v>86.6666666666667</v>
      </c>
      <c r="O21" s="46" t="n">
        <f aca="false">N21*0.3</f>
        <v>26</v>
      </c>
      <c r="P21" s="45" t="n">
        <v>90</v>
      </c>
      <c r="Q21" s="45"/>
      <c r="R21" s="45"/>
      <c r="S21" s="45"/>
      <c r="T21" s="45"/>
      <c r="U21" s="46" t="n">
        <f aca="false">SUMIF(P21:T21,"&lt;&gt;",P21:T21)</f>
        <v>90</v>
      </c>
      <c r="V21" s="46" t="n">
        <f aca="false">(U21/U$15)*50+50</f>
        <v>95</v>
      </c>
      <c r="W21" s="46" t="n">
        <f aca="false">V21*0.2</f>
        <v>19</v>
      </c>
      <c r="X21" s="45" t="n">
        <v>64</v>
      </c>
      <c r="Y21" s="46" t="n">
        <f aca="false">(X21/X$15)*50+50</f>
        <v>82</v>
      </c>
      <c r="Z21" s="46" t="n">
        <f aca="false">Y21*0.5</f>
        <v>41</v>
      </c>
      <c r="AA21" s="47" t="n">
        <f aca="false">SUM(Z21,W21,O21)</f>
        <v>86</v>
      </c>
      <c r="AB21" s="50"/>
      <c r="AC21" s="51"/>
      <c r="AD21" s="51"/>
      <c r="AE21" s="51"/>
      <c r="AF21" s="51"/>
      <c r="AG21" s="51"/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FAT, NERISA SALGADO</v>
      </c>
      <c r="C22" s="45" t="n">
        <v>6</v>
      </c>
      <c r="D22" s="45" t="n">
        <v>8</v>
      </c>
      <c r="E22" s="45"/>
      <c r="F22" s="45"/>
      <c r="G22" s="45"/>
      <c r="H22" s="45"/>
      <c r="I22" s="45"/>
      <c r="J22" s="45"/>
      <c r="K22" s="45"/>
      <c r="L22" s="45"/>
      <c r="M22" s="46" t="n">
        <f aca="false">SUMIF(C22:L22,"&lt;&gt;",C22:L22)</f>
        <v>14</v>
      </c>
      <c r="N22" s="46" t="n">
        <f aca="false">(M22/M$15)*50+50</f>
        <v>73.3333333333333</v>
      </c>
      <c r="O22" s="46" t="n">
        <f aca="false">N22*0.3</f>
        <v>22</v>
      </c>
      <c r="P22" s="45" t="n">
        <v>90</v>
      </c>
      <c r="Q22" s="45"/>
      <c r="R22" s="45"/>
      <c r="S22" s="45"/>
      <c r="T22" s="45"/>
      <c r="U22" s="46" t="n">
        <f aca="false">SUMIF(P22:T22,"&lt;&gt;",P22:T22)</f>
        <v>90</v>
      </c>
      <c r="V22" s="46" t="n">
        <f aca="false">(U22/U$15)*50+50</f>
        <v>95</v>
      </c>
      <c r="W22" s="46" t="n">
        <f aca="false">V22*0.2</f>
        <v>19</v>
      </c>
      <c r="X22" s="45" t="n">
        <v>57</v>
      </c>
      <c r="Y22" s="46" t="n">
        <f aca="false">(X22/X$15)*50+50</f>
        <v>78.5</v>
      </c>
      <c r="Z22" s="46" t="n">
        <f aca="false">Y22*0.5</f>
        <v>39.25</v>
      </c>
      <c r="AA22" s="47" t="n">
        <f aca="false">SUM(Z22,W22,O22)</f>
        <v>80.25</v>
      </c>
      <c r="AB22" s="50"/>
      <c r="AC22" s="51"/>
      <c r="AD22" s="51"/>
      <c r="AE22" s="51"/>
      <c r="AF22" s="51"/>
      <c r="AG22" s="51"/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FERNANDEZ, CHRISTOPHER LIMOTAO</v>
      </c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6" t="n">
        <f aca="false">SUMIF(C23:L23,"&lt;&gt;",C23:L23)</f>
        <v>0</v>
      </c>
      <c r="N23" s="46" t="n">
        <f aca="false">(M23/M$15)*50+50</f>
        <v>50</v>
      </c>
      <c r="O23" s="46" t="n">
        <f aca="false">N23*0.3</f>
        <v>15</v>
      </c>
      <c r="P23" s="45"/>
      <c r="Q23" s="45"/>
      <c r="R23" s="45"/>
      <c r="S23" s="45"/>
      <c r="T23" s="45"/>
      <c r="U23" s="46" t="n">
        <f aca="false">SUMIF(P23:T23,"&lt;&gt;",P23:T23)</f>
        <v>0</v>
      </c>
      <c r="V23" s="46" t="n">
        <f aca="false">(U23/U$15)*50+50</f>
        <v>50</v>
      </c>
      <c r="W23" s="46" t="n">
        <f aca="false">V23*0.2</f>
        <v>10</v>
      </c>
      <c r="X23" s="45"/>
      <c r="Y23" s="46" t="n">
        <f aca="false">(X23/X$15)*50+50</f>
        <v>50</v>
      </c>
      <c r="Z23" s="46" t="n">
        <f aca="false">Y23*0.5</f>
        <v>25</v>
      </c>
      <c r="AA23" s="47" t="n">
        <f aca="false">SUM(Z23,W23,O23)</f>
        <v>50</v>
      </c>
      <c r="AB23" s="50"/>
      <c r="AC23" s="51"/>
      <c r="AD23" s="51"/>
      <c r="AE23" s="51"/>
      <c r="AF23" s="51"/>
      <c r="AG23" s="51"/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FERNANDEZ, PENNY LANE TALANQUINES</v>
      </c>
      <c r="C24" s="45" t="n">
        <v>6</v>
      </c>
      <c r="D24" s="45" t="n">
        <v>8</v>
      </c>
      <c r="E24" s="45"/>
      <c r="F24" s="45"/>
      <c r="G24" s="45"/>
      <c r="H24" s="45"/>
      <c r="I24" s="45"/>
      <c r="J24" s="45"/>
      <c r="K24" s="45"/>
      <c r="L24" s="45"/>
      <c r="M24" s="46" t="n">
        <f aca="false">SUMIF(C24:L24,"&lt;&gt;",C24:L24)</f>
        <v>14</v>
      </c>
      <c r="N24" s="46" t="n">
        <f aca="false">(M24/M$15)*50+50</f>
        <v>73.3333333333333</v>
      </c>
      <c r="O24" s="46" t="n">
        <f aca="false">N24*0.3</f>
        <v>22</v>
      </c>
      <c r="P24" s="45" t="n">
        <v>90</v>
      </c>
      <c r="Q24" s="45"/>
      <c r="R24" s="45"/>
      <c r="S24" s="45"/>
      <c r="T24" s="45"/>
      <c r="U24" s="46" t="n">
        <f aca="false">SUMIF(P24:T24,"&lt;&gt;",P24:T24)</f>
        <v>90</v>
      </c>
      <c r="V24" s="46" t="n">
        <f aca="false">(U24/U$15)*50+50</f>
        <v>95</v>
      </c>
      <c r="W24" s="46" t="n">
        <f aca="false">V24*0.2</f>
        <v>19</v>
      </c>
      <c r="X24" s="45" t="n">
        <v>57</v>
      </c>
      <c r="Y24" s="46" t="n">
        <f aca="false">(X24/X$15)*50+50</f>
        <v>78.5</v>
      </c>
      <c r="Z24" s="46" t="n">
        <f aca="false">Y24*0.5</f>
        <v>39.25</v>
      </c>
      <c r="AA24" s="47" t="n">
        <f aca="false">SUM(Z24,W24,O24)</f>
        <v>80.25</v>
      </c>
      <c r="AB24" s="50"/>
      <c r="AC24" s="51"/>
      <c r="AD24" s="51"/>
      <c r="AE24" s="51"/>
      <c r="AF24" s="51"/>
      <c r="AG24" s="51"/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FERNANDEZ, WENDELYN VALDEVIEZO</v>
      </c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6" t="n">
        <f aca="false">SUMIF(C25:L25,"&lt;&gt;",C25:L25)</f>
        <v>0</v>
      </c>
      <c r="N25" s="46" t="n">
        <f aca="false">(M25/M$15)*50+50</f>
        <v>50</v>
      </c>
      <c r="O25" s="46" t="n">
        <f aca="false">N25*0.3</f>
        <v>15</v>
      </c>
      <c r="P25" s="45"/>
      <c r="Q25" s="45"/>
      <c r="R25" s="45"/>
      <c r="S25" s="45"/>
      <c r="T25" s="45"/>
      <c r="U25" s="46" t="n">
        <f aca="false">SUMIF(P25:T25,"&lt;&gt;",P25:T25)</f>
        <v>0</v>
      </c>
      <c r="V25" s="46" t="n">
        <f aca="false">(U25/U$15)*50+50</f>
        <v>50</v>
      </c>
      <c r="W25" s="46" t="n">
        <f aca="false">V25*0.2</f>
        <v>10</v>
      </c>
      <c r="X25" s="45"/>
      <c r="Y25" s="46" t="n">
        <f aca="false">(X25/X$15)*50+50</f>
        <v>50</v>
      </c>
      <c r="Z25" s="46" t="n">
        <f aca="false">Y25*0.5</f>
        <v>25</v>
      </c>
      <c r="AA25" s="47" t="n">
        <f aca="false">SUM(Z25,W25,O25)</f>
        <v>50</v>
      </c>
      <c r="AB25" s="50"/>
      <c r="AC25" s="51"/>
      <c r="AD25" s="51"/>
      <c r="AE25" s="51"/>
      <c r="AF25" s="51"/>
      <c r="AG25" s="51"/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FLORES, YL JOHN MAHINAY</v>
      </c>
      <c r="C26" s="45" t="n">
        <v>13</v>
      </c>
      <c r="D26" s="45" t="n">
        <v>9</v>
      </c>
      <c r="E26" s="45"/>
      <c r="F26" s="45"/>
      <c r="G26" s="45"/>
      <c r="H26" s="45"/>
      <c r="I26" s="45"/>
      <c r="J26" s="45"/>
      <c r="K26" s="45"/>
      <c r="L26" s="45"/>
      <c r="M26" s="46" t="n">
        <f aca="false">SUMIF(C26:L26,"&lt;&gt;",C26:L26)</f>
        <v>22</v>
      </c>
      <c r="N26" s="46" t="n">
        <f aca="false">(M26/M$15)*50+50</f>
        <v>86.6666666666667</v>
      </c>
      <c r="O26" s="46" t="n">
        <f aca="false">N26*0.3</f>
        <v>26</v>
      </c>
      <c r="P26" s="45" t="n">
        <v>90</v>
      </c>
      <c r="Q26" s="45"/>
      <c r="R26" s="45"/>
      <c r="S26" s="45"/>
      <c r="T26" s="45"/>
      <c r="U26" s="46" t="n">
        <f aca="false">SUMIF(P26:T26,"&lt;&gt;",P26:T26)</f>
        <v>90</v>
      </c>
      <c r="V26" s="46" t="n">
        <f aca="false">(U26/U$15)*50+50</f>
        <v>95</v>
      </c>
      <c r="W26" s="46" t="n">
        <f aca="false">V26*0.2</f>
        <v>19</v>
      </c>
      <c r="X26" s="45" t="n">
        <v>64</v>
      </c>
      <c r="Y26" s="46" t="n">
        <f aca="false">(X26/X$15)*50+50</f>
        <v>82</v>
      </c>
      <c r="Z26" s="46" t="n">
        <f aca="false">Y26*0.5</f>
        <v>41</v>
      </c>
      <c r="AA26" s="47" t="n">
        <f aca="false">SUM(Z26,W26,O26)</f>
        <v>86</v>
      </c>
      <c r="AB26" s="50"/>
      <c r="AC26" s="51"/>
      <c r="AD26" s="51"/>
      <c r="AE26" s="51"/>
      <c r="AF26" s="51"/>
      <c r="AG26" s="51"/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GAJO, JAYVEN KIM AMPARO</v>
      </c>
      <c r="C27" s="45" t="n">
        <v>20</v>
      </c>
      <c r="D27" s="45" t="n">
        <v>9</v>
      </c>
      <c r="E27" s="45"/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29</v>
      </c>
      <c r="N27" s="46" t="n">
        <f aca="false">(M27/M$15)*50+50</f>
        <v>98.3333333333333</v>
      </c>
      <c r="O27" s="46" t="n">
        <f aca="false">N27*0.3</f>
        <v>29.5</v>
      </c>
      <c r="P27" s="45" t="n">
        <v>95</v>
      </c>
      <c r="Q27" s="45"/>
      <c r="R27" s="45"/>
      <c r="S27" s="45"/>
      <c r="T27" s="45"/>
      <c r="U27" s="46" t="n">
        <f aca="false">SUMIF(P27:T27,"&lt;&gt;",P27:T27)</f>
        <v>95</v>
      </c>
      <c r="V27" s="46" t="n">
        <f aca="false">(U27/U$15)*50+50</f>
        <v>97.5</v>
      </c>
      <c r="W27" s="46" t="n">
        <f aca="false">V27*0.2</f>
        <v>19.5</v>
      </c>
      <c r="X27" s="45" t="n">
        <v>87</v>
      </c>
      <c r="Y27" s="46" t="n">
        <f aca="false">(X27/X$15)*50+50</f>
        <v>93.5</v>
      </c>
      <c r="Z27" s="46" t="n">
        <f aca="false">Y27*0.5</f>
        <v>46.75</v>
      </c>
      <c r="AA27" s="47" t="n">
        <f aca="false">SUM(Z27,W27,O27)</f>
        <v>95.75</v>
      </c>
      <c r="AB27" s="50"/>
      <c r="AC27" s="51"/>
      <c r="AD27" s="51"/>
      <c r="AE27" s="51"/>
      <c r="AF27" s="51"/>
      <c r="AG27" s="51"/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GARANZO, LANCE GABRIEL CORDOVA</v>
      </c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6" t="n">
        <f aca="false">SUMIF(C28:L28,"&lt;&gt;",C28:L28)</f>
        <v>0</v>
      </c>
      <c r="N28" s="46" t="n">
        <f aca="false">(M28/M$15)*50+50</f>
        <v>50</v>
      </c>
      <c r="O28" s="46" t="n">
        <f aca="false">N28*0.3</f>
        <v>15</v>
      </c>
      <c r="P28" s="45" t="n">
        <v>90</v>
      </c>
      <c r="Q28" s="45"/>
      <c r="R28" s="45"/>
      <c r="S28" s="45"/>
      <c r="T28" s="45"/>
      <c r="U28" s="46" t="n">
        <f aca="false">SUMIF(P28:T28,"&lt;&gt;",P28:T28)</f>
        <v>90</v>
      </c>
      <c r="V28" s="46" t="n">
        <f aca="false">(U28/U$15)*50+50</f>
        <v>95</v>
      </c>
      <c r="W28" s="46" t="n">
        <f aca="false">V28*0.2</f>
        <v>19</v>
      </c>
      <c r="X28" s="45"/>
      <c r="Y28" s="46" t="n">
        <f aca="false">(X28/X$15)*50+50</f>
        <v>50</v>
      </c>
      <c r="Z28" s="46" t="n">
        <f aca="false">Y28*0.5</f>
        <v>25</v>
      </c>
      <c r="AA28" s="47" t="n">
        <f aca="false">SUM(Z28,W28,O28)</f>
        <v>59</v>
      </c>
      <c r="AB28" s="50"/>
      <c r="AC28" s="51"/>
      <c r="AD28" s="51"/>
      <c r="AE28" s="51"/>
      <c r="AF28" s="51"/>
      <c r="AG28" s="51"/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GARGANTA, RICHARD ACABO</v>
      </c>
      <c r="C29" s="45" t="n">
        <v>18</v>
      </c>
      <c r="D29" s="45" t="n">
        <v>7</v>
      </c>
      <c r="E29" s="45"/>
      <c r="F29" s="45"/>
      <c r="G29" s="45"/>
      <c r="H29" s="45"/>
      <c r="I29" s="45"/>
      <c r="J29" s="45"/>
      <c r="K29" s="45"/>
      <c r="L29" s="45"/>
      <c r="M29" s="46" t="n">
        <f aca="false">SUMIF(C29:L29,"&lt;&gt;",C29:L29)</f>
        <v>25</v>
      </c>
      <c r="N29" s="46" t="n">
        <f aca="false">(M29/M$15)*50+50</f>
        <v>91.6666666666667</v>
      </c>
      <c r="O29" s="46" t="n">
        <f aca="false">N29*0.3</f>
        <v>27.5</v>
      </c>
      <c r="P29" s="45" t="n">
        <v>90</v>
      </c>
      <c r="Q29" s="45"/>
      <c r="R29" s="45"/>
      <c r="S29" s="45"/>
      <c r="T29" s="45"/>
      <c r="U29" s="46" t="n">
        <f aca="false">SUMIF(P29:T29,"&lt;&gt;",P29:T29)</f>
        <v>90</v>
      </c>
      <c r="V29" s="46" t="n">
        <f aca="false">(U29/U$15)*50+50</f>
        <v>95</v>
      </c>
      <c r="W29" s="46" t="n">
        <f aca="false">V29*0.2</f>
        <v>19</v>
      </c>
      <c r="X29" s="45" t="n">
        <v>70</v>
      </c>
      <c r="Y29" s="46" t="n">
        <f aca="false">(X29/X$15)*50+50</f>
        <v>85</v>
      </c>
      <c r="Z29" s="46" t="n">
        <f aca="false">Y29*0.5</f>
        <v>42.5</v>
      </c>
      <c r="AA29" s="47" t="n">
        <f aca="false">SUM(Z29,W29,O29)</f>
        <v>89</v>
      </c>
      <c r="AB29" s="50"/>
      <c r="AC29" s="51"/>
      <c r="AD29" s="51"/>
      <c r="AE29" s="51"/>
      <c r="AF29" s="51"/>
      <c r="AG29" s="51"/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GARIANDO, JUSTIN KIM CORREJADO</v>
      </c>
      <c r="C30" s="45" t="n">
        <v>14</v>
      </c>
      <c r="D30" s="45" t="n">
        <v>9</v>
      </c>
      <c r="E30" s="45"/>
      <c r="F30" s="45"/>
      <c r="G30" s="45"/>
      <c r="H30" s="45"/>
      <c r="I30" s="45"/>
      <c r="J30" s="45"/>
      <c r="K30" s="45"/>
      <c r="L30" s="45"/>
      <c r="M30" s="46" t="n">
        <f aca="false">SUMIF(C30:L30,"&lt;&gt;",C30:L30)</f>
        <v>23</v>
      </c>
      <c r="N30" s="46" t="n">
        <f aca="false">(M30/M$15)*50+50</f>
        <v>88.3333333333333</v>
      </c>
      <c r="O30" s="46" t="n">
        <f aca="false">N30*0.3</f>
        <v>26.5</v>
      </c>
      <c r="P30" s="45" t="n">
        <v>90</v>
      </c>
      <c r="Q30" s="45"/>
      <c r="R30" s="45"/>
      <c r="S30" s="45"/>
      <c r="T30" s="45"/>
      <c r="U30" s="46" t="n">
        <f aca="false">SUMIF(P30:T30,"&lt;&gt;",P30:T30)</f>
        <v>90</v>
      </c>
      <c r="V30" s="46" t="n">
        <f aca="false">(U30/U$15)*50+50</f>
        <v>95</v>
      </c>
      <c r="W30" s="46" t="n">
        <f aca="false">V30*0.2</f>
        <v>19</v>
      </c>
      <c r="X30" s="45" t="n">
        <v>83</v>
      </c>
      <c r="Y30" s="46" t="n">
        <f aca="false">(X30/X$15)*50+50</f>
        <v>91.5</v>
      </c>
      <c r="Z30" s="46" t="n">
        <f aca="false">Y30*0.5</f>
        <v>45.75</v>
      </c>
      <c r="AA30" s="47" t="n">
        <f aca="false">SUM(Z30,W30,O30)</f>
        <v>91.25</v>
      </c>
      <c r="AB30" s="50"/>
      <c r="AC30" s="51"/>
      <c r="AD30" s="51"/>
      <c r="AE30" s="51"/>
      <c r="AF30" s="51"/>
      <c r="AG30" s="51"/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GARSOLAO, IVY MARIE ALICAYA</v>
      </c>
      <c r="C31" s="45" t="n">
        <v>6</v>
      </c>
      <c r="D31" s="45" t="n">
        <v>8</v>
      </c>
      <c r="E31" s="45"/>
      <c r="F31" s="45"/>
      <c r="G31" s="45"/>
      <c r="H31" s="45"/>
      <c r="I31" s="45"/>
      <c r="J31" s="45"/>
      <c r="K31" s="45"/>
      <c r="L31" s="45"/>
      <c r="M31" s="46" t="n">
        <f aca="false">SUMIF(C31:L31,"&lt;&gt;",C31:L31)</f>
        <v>14</v>
      </c>
      <c r="N31" s="46" t="n">
        <f aca="false">(M31/M$15)*50+50</f>
        <v>73.3333333333333</v>
      </c>
      <c r="O31" s="46" t="n">
        <f aca="false">N31*0.3</f>
        <v>22</v>
      </c>
      <c r="P31" s="45" t="n">
        <v>90</v>
      </c>
      <c r="Q31" s="45"/>
      <c r="R31" s="45"/>
      <c r="S31" s="45"/>
      <c r="T31" s="45"/>
      <c r="U31" s="46" t="n">
        <f aca="false">SUMIF(P31:T31,"&lt;&gt;",P31:T31)</f>
        <v>90</v>
      </c>
      <c r="V31" s="46" t="n">
        <f aca="false">(U31/U$15)*50+50</f>
        <v>95</v>
      </c>
      <c r="W31" s="46" t="n">
        <f aca="false">V31*0.2</f>
        <v>19</v>
      </c>
      <c r="X31" s="45" t="n">
        <v>57</v>
      </c>
      <c r="Y31" s="46" t="n">
        <f aca="false">(X31/X$15)*50+50</f>
        <v>78.5</v>
      </c>
      <c r="Z31" s="46" t="n">
        <f aca="false">Y31*0.5</f>
        <v>39.25</v>
      </c>
      <c r="AA31" s="47" t="n">
        <f aca="false">SUM(Z31,W31,O31)</f>
        <v>80.25</v>
      </c>
      <c r="AB31" s="50"/>
      <c r="AC31" s="51"/>
      <c r="AD31" s="51"/>
      <c r="AE31" s="51"/>
      <c r="AF31" s="51"/>
      <c r="AG31" s="51"/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GASATAYA, RICO TALABAN</v>
      </c>
      <c r="C32" s="45" t="n">
        <v>9</v>
      </c>
      <c r="D32" s="45" t="n">
        <v>8</v>
      </c>
      <c r="E32" s="45"/>
      <c r="F32" s="45"/>
      <c r="G32" s="45"/>
      <c r="H32" s="45"/>
      <c r="I32" s="45"/>
      <c r="J32" s="45"/>
      <c r="K32" s="45"/>
      <c r="L32" s="45"/>
      <c r="M32" s="46" t="n">
        <f aca="false">SUMIF(C32:L32,"&lt;&gt;",C32:L32)</f>
        <v>17</v>
      </c>
      <c r="N32" s="46" t="n">
        <f aca="false">(M32/M$15)*50+50</f>
        <v>78.3333333333333</v>
      </c>
      <c r="O32" s="46" t="n">
        <f aca="false">N32*0.3</f>
        <v>23.5</v>
      </c>
      <c r="P32" s="45" t="n">
        <v>90</v>
      </c>
      <c r="Q32" s="45"/>
      <c r="R32" s="45"/>
      <c r="S32" s="45"/>
      <c r="T32" s="45"/>
      <c r="U32" s="46" t="n">
        <f aca="false">SUMIF(P32:T32,"&lt;&gt;",P32:T32)</f>
        <v>90</v>
      </c>
      <c r="V32" s="46" t="n">
        <f aca="false">(U32/U$15)*50+50</f>
        <v>95</v>
      </c>
      <c r="W32" s="46" t="n">
        <f aca="false">V32*0.2</f>
        <v>19</v>
      </c>
      <c r="X32" s="45" t="n">
        <v>48</v>
      </c>
      <c r="Y32" s="46" t="n">
        <f aca="false">(X32/X$15)*50+50</f>
        <v>74</v>
      </c>
      <c r="Z32" s="46" t="n">
        <f aca="false">Y32*0.5</f>
        <v>37</v>
      </c>
      <c r="AA32" s="47" t="n">
        <f aca="false">SUM(Z32,W32,O32)</f>
        <v>79.5</v>
      </c>
      <c r="AB32" s="50"/>
      <c r="AC32" s="51"/>
      <c r="AD32" s="51"/>
      <c r="AE32" s="51"/>
      <c r="AF32" s="51"/>
      <c r="AG32" s="51"/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GELBA, ABEGAIL VENUS</v>
      </c>
      <c r="C33" s="45" t="n">
        <v>14</v>
      </c>
      <c r="D33" s="45" t="n">
        <v>9</v>
      </c>
      <c r="E33" s="45"/>
      <c r="F33" s="45"/>
      <c r="G33" s="45"/>
      <c r="H33" s="45"/>
      <c r="I33" s="45"/>
      <c r="J33" s="45"/>
      <c r="K33" s="45"/>
      <c r="L33" s="45"/>
      <c r="M33" s="46" t="n">
        <f aca="false">SUMIF(C33:L33,"&lt;&gt;",C33:L33)</f>
        <v>23</v>
      </c>
      <c r="N33" s="46" t="n">
        <f aca="false">(M33/M$15)*50+50</f>
        <v>88.3333333333333</v>
      </c>
      <c r="O33" s="46" t="n">
        <f aca="false">N33*0.3</f>
        <v>26.5</v>
      </c>
      <c r="P33" s="45" t="n">
        <v>90</v>
      </c>
      <c r="Q33" s="45"/>
      <c r="R33" s="45"/>
      <c r="S33" s="45"/>
      <c r="T33" s="45"/>
      <c r="U33" s="46" t="n">
        <f aca="false">SUMIF(P33:T33,"&lt;&gt;",P33:T33)</f>
        <v>90</v>
      </c>
      <c r="V33" s="46" t="n">
        <f aca="false">(U33/U$15)*50+50</f>
        <v>95</v>
      </c>
      <c r="W33" s="46" t="n">
        <f aca="false">V33*0.2</f>
        <v>19</v>
      </c>
      <c r="X33" s="45" t="n">
        <v>83</v>
      </c>
      <c r="Y33" s="46" t="n">
        <f aca="false">(X33/X$15)*50+50</f>
        <v>91.5</v>
      </c>
      <c r="Z33" s="46" t="n">
        <f aca="false">Y33*0.5</f>
        <v>45.75</v>
      </c>
      <c r="AA33" s="47" t="n">
        <f aca="false">SUM(Z33,W33,O33)</f>
        <v>91.25</v>
      </c>
      <c r="AB33" s="50"/>
      <c r="AC33" s="51"/>
      <c r="AD33" s="51"/>
      <c r="AE33" s="51"/>
      <c r="AF33" s="51"/>
      <c r="AG33" s="51"/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GENGOS, JUN APOSTOL</v>
      </c>
      <c r="C34" s="45" t="n">
        <v>10</v>
      </c>
      <c r="D34" s="45" t="n">
        <v>8</v>
      </c>
      <c r="E34" s="45"/>
      <c r="F34" s="45"/>
      <c r="G34" s="45"/>
      <c r="H34" s="45"/>
      <c r="I34" s="45"/>
      <c r="J34" s="45"/>
      <c r="K34" s="45"/>
      <c r="L34" s="45"/>
      <c r="M34" s="46" t="n">
        <f aca="false">SUMIF(C34:L34,"&lt;&gt;",C34:L34)</f>
        <v>18</v>
      </c>
      <c r="N34" s="46" t="n">
        <f aca="false">(M34/M$15)*50+50</f>
        <v>80</v>
      </c>
      <c r="O34" s="46" t="n">
        <f aca="false">N34*0.3</f>
        <v>24</v>
      </c>
      <c r="P34" s="45" t="n">
        <v>90</v>
      </c>
      <c r="Q34" s="45"/>
      <c r="R34" s="45"/>
      <c r="S34" s="45"/>
      <c r="T34" s="45"/>
      <c r="U34" s="46" t="n">
        <f aca="false">SUMIF(P34:T34,"&lt;&gt;",P34:T34)</f>
        <v>90</v>
      </c>
      <c r="V34" s="46" t="n">
        <f aca="false">(U34/U$15)*50+50</f>
        <v>95</v>
      </c>
      <c r="W34" s="46" t="n">
        <f aca="false">V34*0.2</f>
        <v>19</v>
      </c>
      <c r="X34" s="45" t="n">
        <v>60</v>
      </c>
      <c r="Y34" s="46" t="n">
        <f aca="false">(X34/X$15)*50+50</f>
        <v>80</v>
      </c>
      <c r="Z34" s="46" t="n">
        <f aca="false">Y34*0.5</f>
        <v>40</v>
      </c>
      <c r="AA34" s="47" t="n">
        <f aca="false">SUM(Z34,W34,O34)</f>
        <v>83</v>
      </c>
      <c r="AB34" s="50"/>
      <c r="AC34" s="51"/>
      <c r="AD34" s="51"/>
      <c r="AE34" s="51"/>
      <c r="AF34" s="51"/>
      <c r="AG34" s="51"/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GENOVA, JAMES DELA CRUZ</v>
      </c>
      <c r="C35" s="45" t="n">
        <v>20</v>
      </c>
      <c r="D35" s="45" t="n">
        <v>8</v>
      </c>
      <c r="E35" s="45"/>
      <c r="F35" s="45"/>
      <c r="G35" s="45"/>
      <c r="H35" s="45"/>
      <c r="I35" s="45"/>
      <c r="J35" s="45"/>
      <c r="K35" s="45"/>
      <c r="L35" s="45"/>
      <c r="M35" s="46" t="n">
        <f aca="false">SUMIF(C35:L35,"&lt;&gt;",C35:L35)</f>
        <v>28</v>
      </c>
      <c r="N35" s="46" t="n">
        <f aca="false">(M35/M$15)*50+50</f>
        <v>96.6666666666667</v>
      </c>
      <c r="O35" s="46" t="n">
        <f aca="false">N35*0.3</f>
        <v>29</v>
      </c>
      <c r="P35" s="45" t="n">
        <v>95</v>
      </c>
      <c r="Q35" s="45"/>
      <c r="R35" s="45"/>
      <c r="S35" s="45"/>
      <c r="T35" s="45"/>
      <c r="U35" s="46" t="n">
        <f aca="false">SUMIF(P35:T35,"&lt;&gt;",P35:T35)</f>
        <v>95</v>
      </c>
      <c r="V35" s="46" t="n">
        <f aca="false">(U35/U$15)*50+50</f>
        <v>97.5</v>
      </c>
      <c r="W35" s="46" t="n">
        <f aca="false">V35*0.2</f>
        <v>19.5</v>
      </c>
      <c r="X35" s="45" t="n">
        <v>76</v>
      </c>
      <c r="Y35" s="46" t="n">
        <f aca="false">(X35/X$15)*50+50</f>
        <v>88</v>
      </c>
      <c r="Z35" s="46" t="n">
        <f aca="false">Y35*0.5</f>
        <v>44</v>
      </c>
      <c r="AA35" s="47" t="n">
        <f aca="false">SUM(Z35,W35,O35)</f>
        <v>92.5</v>
      </c>
      <c r="AB35" s="50"/>
      <c r="AC35" s="51"/>
      <c r="AD35" s="51"/>
      <c r="AE35" s="51"/>
      <c r="AF35" s="51"/>
      <c r="AG35" s="51"/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GEPULANI, JESSA MAE CALUBAQUIT</v>
      </c>
      <c r="C36" s="45" t="n">
        <v>12</v>
      </c>
      <c r="D36" s="45" t="n">
        <v>6</v>
      </c>
      <c r="E36" s="45"/>
      <c r="F36" s="45"/>
      <c r="G36" s="45"/>
      <c r="H36" s="45"/>
      <c r="I36" s="45"/>
      <c r="J36" s="45"/>
      <c r="K36" s="45"/>
      <c r="L36" s="45"/>
      <c r="M36" s="46" t="n">
        <f aca="false">SUMIF(C36:L36,"&lt;&gt;",C36:L36)</f>
        <v>18</v>
      </c>
      <c r="N36" s="46" t="n">
        <f aca="false">(M36/M$15)*50+50</f>
        <v>80</v>
      </c>
      <c r="O36" s="46" t="n">
        <f aca="false">N36*0.3</f>
        <v>24</v>
      </c>
      <c r="P36" s="45" t="n">
        <v>90</v>
      </c>
      <c r="Q36" s="45"/>
      <c r="R36" s="45"/>
      <c r="S36" s="45"/>
      <c r="T36" s="45"/>
      <c r="U36" s="46" t="n">
        <f aca="false">SUMIF(P36:T36,"&lt;&gt;",P36:T36)</f>
        <v>90</v>
      </c>
      <c r="V36" s="46" t="n">
        <f aca="false">(U36/U$15)*50+50</f>
        <v>95</v>
      </c>
      <c r="W36" s="46" t="n">
        <f aca="false">V36*0.2</f>
        <v>19</v>
      </c>
      <c r="X36" s="45" t="n">
        <v>48</v>
      </c>
      <c r="Y36" s="46" t="n">
        <f aca="false">(X36/X$15)*50+50</f>
        <v>74</v>
      </c>
      <c r="Z36" s="46" t="n">
        <f aca="false">Y36*0.5</f>
        <v>37</v>
      </c>
      <c r="AA36" s="47" t="n">
        <f aca="false">SUM(Z36,W36,O36)</f>
        <v>80</v>
      </c>
      <c r="AB36" s="50"/>
      <c r="AC36" s="51"/>
      <c r="AD36" s="51"/>
      <c r="AE36" s="51"/>
      <c r="AF36" s="51"/>
      <c r="AG36" s="51"/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GERALDOY, PRECIOUS MARIE BAT-OG</v>
      </c>
      <c r="C37" s="45" t="n">
        <v>18</v>
      </c>
      <c r="D37" s="45" t="n">
        <v>7</v>
      </c>
      <c r="E37" s="45"/>
      <c r="F37" s="45"/>
      <c r="G37" s="45"/>
      <c r="H37" s="45"/>
      <c r="I37" s="45"/>
      <c r="J37" s="45"/>
      <c r="K37" s="45"/>
      <c r="L37" s="45"/>
      <c r="M37" s="46" t="n">
        <f aca="false">SUMIF(C37:L37,"&lt;&gt;",C37:L37)</f>
        <v>25</v>
      </c>
      <c r="N37" s="46" t="n">
        <f aca="false">(M37/M$15)*50+50</f>
        <v>91.6666666666667</v>
      </c>
      <c r="O37" s="46" t="n">
        <f aca="false">N37*0.3</f>
        <v>27.5</v>
      </c>
      <c r="P37" s="45" t="n">
        <v>90</v>
      </c>
      <c r="Q37" s="45"/>
      <c r="R37" s="45"/>
      <c r="S37" s="45"/>
      <c r="T37" s="45"/>
      <c r="U37" s="46" t="n">
        <f aca="false">SUMIF(P37:T37,"&lt;&gt;",P37:T37)</f>
        <v>90</v>
      </c>
      <c r="V37" s="46" t="n">
        <f aca="false">(U37/U$15)*50+50</f>
        <v>95</v>
      </c>
      <c r="W37" s="46" t="n">
        <f aca="false">V37*0.2</f>
        <v>19</v>
      </c>
      <c r="X37" s="45" t="n">
        <v>70</v>
      </c>
      <c r="Y37" s="46" t="n">
        <f aca="false">(X37/X$15)*50+50</f>
        <v>85</v>
      </c>
      <c r="Z37" s="46" t="n">
        <f aca="false">Y37*0.5</f>
        <v>42.5</v>
      </c>
      <c r="AA37" s="47" t="n">
        <f aca="false">SUM(Z37,W37,O37)</f>
        <v>89</v>
      </c>
      <c r="AB37" s="50"/>
      <c r="AC37" s="51"/>
      <c r="AD37" s="51"/>
      <c r="AE37" s="51"/>
      <c r="AF37" s="51"/>
      <c r="AG37" s="51"/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GESTUPA, STEPHINE NICKLE COLIMBO</v>
      </c>
      <c r="C38" s="45" t="n">
        <v>5</v>
      </c>
      <c r="D38" s="45" t="n">
        <v>8</v>
      </c>
      <c r="E38" s="45"/>
      <c r="F38" s="45"/>
      <c r="G38" s="45"/>
      <c r="H38" s="45"/>
      <c r="I38" s="45"/>
      <c r="J38" s="45"/>
      <c r="K38" s="45"/>
      <c r="L38" s="45"/>
      <c r="M38" s="46" t="n">
        <f aca="false">SUMIF(C38:L38,"&lt;&gt;",C38:L38)</f>
        <v>13</v>
      </c>
      <c r="N38" s="46" t="n">
        <f aca="false">(M38/M$15)*50+50</f>
        <v>71.6666666666667</v>
      </c>
      <c r="O38" s="46" t="n">
        <f aca="false">N38*0.3</f>
        <v>21.5</v>
      </c>
      <c r="P38" s="45" t="n">
        <v>90</v>
      </c>
      <c r="Q38" s="45"/>
      <c r="R38" s="45"/>
      <c r="S38" s="45"/>
      <c r="T38" s="45"/>
      <c r="U38" s="46" t="n">
        <f aca="false">SUMIF(P38:T38,"&lt;&gt;",P38:T38)</f>
        <v>90</v>
      </c>
      <c r="V38" s="46" t="n">
        <f aca="false">(U38/U$15)*50+50</f>
        <v>95</v>
      </c>
      <c r="W38" s="46" t="n">
        <f aca="false">V38*0.2</f>
        <v>19</v>
      </c>
      <c r="X38" s="45" t="n">
        <v>59</v>
      </c>
      <c r="Y38" s="46" t="n">
        <f aca="false">(X38/X$15)*50+50</f>
        <v>79.5</v>
      </c>
      <c r="Z38" s="46" t="n">
        <f aca="false">Y38*0.5</f>
        <v>39.75</v>
      </c>
      <c r="AA38" s="47" t="n">
        <f aca="false">SUM(Z38,W38,O38)</f>
        <v>80.25</v>
      </c>
      <c r="AB38" s="50"/>
      <c r="AC38" s="51"/>
      <c r="AD38" s="51"/>
      <c r="AE38" s="51"/>
      <c r="AF38" s="51"/>
      <c r="AG38" s="51"/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GILGON, ABEGAIL PELARA</v>
      </c>
      <c r="C39" s="45" t="n">
        <v>14</v>
      </c>
      <c r="D39" s="45" t="n">
        <v>9</v>
      </c>
      <c r="E39" s="45"/>
      <c r="F39" s="45"/>
      <c r="G39" s="45"/>
      <c r="H39" s="45"/>
      <c r="I39" s="45"/>
      <c r="J39" s="45"/>
      <c r="K39" s="45"/>
      <c r="L39" s="45"/>
      <c r="M39" s="46" t="n">
        <f aca="false">SUMIF(C39:L39,"&lt;&gt;",C39:L39)</f>
        <v>23</v>
      </c>
      <c r="N39" s="46" t="n">
        <f aca="false">(M39/M$15)*50+50</f>
        <v>88.3333333333333</v>
      </c>
      <c r="O39" s="46" t="n">
        <f aca="false">N39*0.3</f>
        <v>26.5</v>
      </c>
      <c r="P39" s="45" t="n">
        <v>90</v>
      </c>
      <c r="Q39" s="45"/>
      <c r="R39" s="45"/>
      <c r="S39" s="45"/>
      <c r="T39" s="45"/>
      <c r="U39" s="46" t="n">
        <f aca="false">SUMIF(P39:T39,"&lt;&gt;",P39:T39)</f>
        <v>90</v>
      </c>
      <c r="V39" s="46" t="n">
        <f aca="false">(U39/U$15)*50+50</f>
        <v>95</v>
      </c>
      <c r="W39" s="46" t="n">
        <f aca="false">V39*0.2</f>
        <v>19</v>
      </c>
      <c r="X39" s="45" t="n">
        <v>83</v>
      </c>
      <c r="Y39" s="46" t="n">
        <f aca="false">(X39/X$15)*50+50</f>
        <v>91.5</v>
      </c>
      <c r="Z39" s="46" t="n">
        <f aca="false">Y39*0.5</f>
        <v>45.75</v>
      </c>
      <c r="AA39" s="47" t="n">
        <f aca="false">SUM(Z39,W39,O39)</f>
        <v>91.25</v>
      </c>
      <c r="AB39" s="50"/>
      <c r="AC39" s="51"/>
      <c r="AD39" s="51"/>
      <c r="AE39" s="51"/>
      <c r="AF39" s="51"/>
      <c r="AG39" s="51"/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GITALAN, JOHN MARK GRANFIEL</v>
      </c>
      <c r="C40" s="45" t="n">
        <v>18</v>
      </c>
      <c r="D40" s="45" t="n">
        <v>7</v>
      </c>
      <c r="E40" s="45"/>
      <c r="F40" s="45"/>
      <c r="G40" s="45"/>
      <c r="H40" s="45"/>
      <c r="I40" s="45"/>
      <c r="J40" s="45"/>
      <c r="K40" s="45"/>
      <c r="L40" s="45"/>
      <c r="M40" s="46" t="n">
        <f aca="false">SUMIF(C40:L40,"&lt;&gt;",C40:L40)</f>
        <v>25</v>
      </c>
      <c r="N40" s="46" t="n">
        <f aca="false">(M40/M$15)*50+50</f>
        <v>91.6666666666667</v>
      </c>
      <c r="O40" s="46" t="n">
        <f aca="false">N40*0.3</f>
        <v>27.5</v>
      </c>
      <c r="P40" s="45" t="n">
        <v>90</v>
      </c>
      <c r="Q40" s="45"/>
      <c r="R40" s="45"/>
      <c r="S40" s="45"/>
      <c r="T40" s="45"/>
      <c r="U40" s="46" t="n">
        <f aca="false">SUMIF(P40:T40,"&lt;&gt;",P40:T40)</f>
        <v>90</v>
      </c>
      <c r="V40" s="46" t="n">
        <f aca="false">(U40/U$15)*50+50</f>
        <v>95</v>
      </c>
      <c r="W40" s="46" t="n">
        <f aca="false">V40*0.2</f>
        <v>19</v>
      </c>
      <c r="X40" s="45" t="n">
        <v>70</v>
      </c>
      <c r="Y40" s="46" t="n">
        <f aca="false">(X40/X$15)*50+50</f>
        <v>85</v>
      </c>
      <c r="Z40" s="46" t="n">
        <f aca="false">Y40*0.5</f>
        <v>42.5</v>
      </c>
      <c r="AA40" s="47" t="n">
        <f aca="false">SUM(Z40,W40,O40)</f>
        <v>89</v>
      </c>
      <c r="AB40" s="50"/>
      <c r="AC40" s="51"/>
      <c r="AD40" s="51"/>
      <c r="AE40" s="51"/>
      <c r="AF40" s="51"/>
      <c r="AG40" s="51"/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GORDO, PAUL GREG BAJO</v>
      </c>
      <c r="C41" s="45" t="n">
        <v>5</v>
      </c>
      <c r="D41" s="45" t="n">
        <v>8</v>
      </c>
      <c r="E41" s="45"/>
      <c r="F41" s="45"/>
      <c r="G41" s="45"/>
      <c r="H41" s="45"/>
      <c r="I41" s="45"/>
      <c r="J41" s="45"/>
      <c r="K41" s="45"/>
      <c r="L41" s="45"/>
      <c r="M41" s="46" t="n">
        <f aca="false">SUMIF(C41:L41,"&lt;&gt;",C41:L41)</f>
        <v>13</v>
      </c>
      <c r="N41" s="46" t="n">
        <f aca="false">(M41/M$15)*50+50</f>
        <v>71.6666666666667</v>
      </c>
      <c r="O41" s="46" t="n">
        <f aca="false">N41*0.3</f>
        <v>21.5</v>
      </c>
      <c r="P41" s="45" t="n">
        <v>90</v>
      </c>
      <c r="Q41" s="45"/>
      <c r="R41" s="45"/>
      <c r="S41" s="45"/>
      <c r="T41" s="45"/>
      <c r="U41" s="46" t="n">
        <f aca="false">SUMIF(P41:T41,"&lt;&gt;",P41:T41)</f>
        <v>90</v>
      </c>
      <c r="V41" s="46" t="n">
        <f aca="false">(U41/U$15)*50+50</f>
        <v>95</v>
      </c>
      <c r="W41" s="46" t="n">
        <f aca="false">V41*0.2</f>
        <v>19</v>
      </c>
      <c r="X41" s="45" t="n">
        <v>59</v>
      </c>
      <c r="Y41" s="46" t="n">
        <f aca="false">(X41/X$15)*50+50</f>
        <v>79.5</v>
      </c>
      <c r="Z41" s="46" t="n">
        <f aca="false">Y41*0.5</f>
        <v>39.75</v>
      </c>
      <c r="AA41" s="47" t="n">
        <f aca="false">SUM(Z41,W41,O41)</f>
        <v>80.25</v>
      </c>
      <c r="AB41" s="50"/>
      <c r="AC41" s="51"/>
      <c r="AD41" s="51"/>
      <c r="AE41" s="51"/>
      <c r="AF41" s="51"/>
      <c r="AG41" s="51"/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GRANDEA, JOSE REY URBANOZO</v>
      </c>
      <c r="C42" s="45" t="n">
        <v>12</v>
      </c>
      <c r="D42" s="45" t="n">
        <v>6</v>
      </c>
      <c r="E42" s="45"/>
      <c r="F42" s="45"/>
      <c r="G42" s="45"/>
      <c r="H42" s="45"/>
      <c r="I42" s="45"/>
      <c r="J42" s="45"/>
      <c r="K42" s="45"/>
      <c r="L42" s="45"/>
      <c r="M42" s="46" t="n">
        <f aca="false">SUMIF(C42:L42,"&lt;&gt;",C42:L42)</f>
        <v>18</v>
      </c>
      <c r="N42" s="46" t="n">
        <f aca="false">(M42/M$15)*50+50</f>
        <v>80</v>
      </c>
      <c r="O42" s="46" t="n">
        <f aca="false">N42*0.3</f>
        <v>24</v>
      </c>
      <c r="P42" s="45" t="n">
        <v>90</v>
      </c>
      <c r="Q42" s="45"/>
      <c r="R42" s="45"/>
      <c r="S42" s="45"/>
      <c r="T42" s="45"/>
      <c r="U42" s="46" t="n">
        <f aca="false">SUMIF(P42:T42,"&lt;&gt;",P42:T42)</f>
        <v>90</v>
      </c>
      <c r="V42" s="46" t="n">
        <f aca="false">(U42/U$15)*50+50</f>
        <v>95</v>
      </c>
      <c r="W42" s="46" t="n">
        <f aca="false">V42*0.2</f>
        <v>19</v>
      </c>
      <c r="X42" s="45" t="n">
        <v>66</v>
      </c>
      <c r="Y42" s="46" t="n">
        <f aca="false">(X42/X$15)*50+50</f>
        <v>83</v>
      </c>
      <c r="Z42" s="46" t="n">
        <f aca="false">Y42*0.5</f>
        <v>41.5</v>
      </c>
      <c r="AA42" s="47" t="n">
        <f aca="false">SUM(Z42,W42,O42)</f>
        <v>84.5</v>
      </c>
      <c r="AB42" s="50"/>
      <c r="AC42" s="51"/>
      <c r="AD42" s="51"/>
      <c r="AE42" s="51"/>
      <c r="AF42" s="51"/>
      <c r="AG42" s="51"/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GUILARAN, CHRISTIAN VILLAMAR</v>
      </c>
      <c r="C43" s="45" t="n">
        <v>13</v>
      </c>
      <c r="D43" s="45" t="n">
        <v>9</v>
      </c>
      <c r="E43" s="45"/>
      <c r="F43" s="45"/>
      <c r="G43" s="45"/>
      <c r="H43" s="45"/>
      <c r="I43" s="45"/>
      <c r="J43" s="45"/>
      <c r="K43" s="45"/>
      <c r="L43" s="45"/>
      <c r="M43" s="46" t="n">
        <f aca="false">SUMIF(C43:L43,"&lt;&gt;",C43:L43)</f>
        <v>22</v>
      </c>
      <c r="N43" s="46" t="n">
        <f aca="false">(M43/M$15)*50+50</f>
        <v>86.6666666666667</v>
      </c>
      <c r="O43" s="46" t="n">
        <f aca="false">N43*0.3</f>
        <v>26</v>
      </c>
      <c r="P43" s="45" t="n">
        <v>90</v>
      </c>
      <c r="Q43" s="45"/>
      <c r="R43" s="45"/>
      <c r="S43" s="45"/>
      <c r="T43" s="45"/>
      <c r="U43" s="46" t="n">
        <f aca="false">SUMIF(P43:T43,"&lt;&gt;",P43:T43)</f>
        <v>90</v>
      </c>
      <c r="V43" s="46" t="n">
        <f aca="false">(U43/U$15)*50+50</f>
        <v>95</v>
      </c>
      <c r="W43" s="46" t="n">
        <f aca="false">V43*0.2</f>
        <v>19</v>
      </c>
      <c r="X43" s="45" t="n">
        <v>64</v>
      </c>
      <c r="Y43" s="46" t="n">
        <f aca="false">(X43/X$15)*50+50</f>
        <v>82</v>
      </c>
      <c r="Z43" s="46" t="n">
        <f aca="false">Y43*0.5</f>
        <v>41</v>
      </c>
      <c r="AA43" s="47" t="n">
        <f aca="false">SUM(Z43,W43,O43)</f>
        <v>86</v>
      </c>
      <c r="AB43" s="50"/>
      <c r="AC43" s="51"/>
      <c r="AD43" s="51"/>
      <c r="AE43" s="51"/>
      <c r="AF43" s="51"/>
      <c r="AG43" s="51"/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HERMOSURA, JAYCA FUNDADOR</v>
      </c>
      <c r="C44" s="45" t="n">
        <v>20</v>
      </c>
      <c r="D44" s="45" t="n">
        <v>9</v>
      </c>
      <c r="E44" s="45"/>
      <c r="F44" s="45"/>
      <c r="G44" s="45"/>
      <c r="H44" s="45"/>
      <c r="I44" s="45"/>
      <c r="J44" s="45"/>
      <c r="K44" s="45"/>
      <c r="L44" s="45"/>
      <c r="M44" s="46" t="n">
        <f aca="false">SUMIF(C44:L44,"&lt;&gt;",C44:L44)</f>
        <v>29</v>
      </c>
      <c r="N44" s="46" t="n">
        <f aca="false">(M44/M$15)*50+50</f>
        <v>98.3333333333333</v>
      </c>
      <c r="O44" s="46" t="n">
        <f aca="false">N44*0.3</f>
        <v>29.5</v>
      </c>
      <c r="P44" s="45" t="n">
        <v>95</v>
      </c>
      <c r="Q44" s="45"/>
      <c r="R44" s="45"/>
      <c r="S44" s="45"/>
      <c r="T44" s="45"/>
      <c r="U44" s="46" t="n">
        <f aca="false">SUMIF(P44:T44,"&lt;&gt;",P44:T44)</f>
        <v>95</v>
      </c>
      <c r="V44" s="46" t="n">
        <f aca="false">(U44/U$15)*50+50</f>
        <v>97.5</v>
      </c>
      <c r="W44" s="46" t="n">
        <f aca="false">V44*0.2</f>
        <v>19.5</v>
      </c>
      <c r="X44" s="45" t="n">
        <v>87</v>
      </c>
      <c r="Y44" s="46" t="n">
        <f aca="false">(X44/X$15)*50+50</f>
        <v>93.5</v>
      </c>
      <c r="Z44" s="46" t="n">
        <f aca="false">Y44*0.5</f>
        <v>46.75</v>
      </c>
      <c r="AA44" s="47" t="n">
        <f aca="false">SUM(Z44,W44,O44)</f>
        <v>95.75</v>
      </c>
      <c r="AB44" s="50"/>
      <c r="AC44" s="51"/>
      <c r="AD44" s="51"/>
      <c r="AE44" s="51"/>
      <c r="AF44" s="51"/>
      <c r="AG44" s="51"/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HILADO, CATHERINE SALVILLA</v>
      </c>
      <c r="C45" s="45" t="n">
        <v>6</v>
      </c>
      <c r="D45" s="45" t="n">
        <v>8</v>
      </c>
      <c r="E45" s="45"/>
      <c r="F45" s="45"/>
      <c r="G45" s="45"/>
      <c r="H45" s="45"/>
      <c r="I45" s="45"/>
      <c r="J45" s="45"/>
      <c r="K45" s="45"/>
      <c r="L45" s="45"/>
      <c r="M45" s="46" t="n">
        <f aca="false">SUMIF(C45:L45,"&lt;&gt;",C45:L45)</f>
        <v>14</v>
      </c>
      <c r="N45" s="46" t="n">
        <f aca="false">(M45/M$15)*50+50</f>
        <v>73.3333333333333</v>
      </c>
      <c r="O45" s="46" t="n">
        <f aca="false">N45*0.3</f>
        <v>22</v>
      </c>
      <c r="P45" s="45" t="n">
        <v>90</v>
      </c>
      <c r="Q45" s="45"/>
      <c r="R45" s="45"/>
      <c r="S45" s="45"/>
      <c r="T45" s="45"/>
      <c r="U45" s="46" t="n">
        <f aca="false">SUMIF(P45:T45,"&lt;&gt;",P45:T45)</f>
        <v>90</v>
      </c>
      <c r="V45" s="46" t="n">
        <f aca="false">(U45/U$15)*50+50</f>
        <v>95</v>
      </c>
      <c r="W45" s="46" t="n">
        <f aca="false">V45*0.2</f>
        <v>19</v>
      </c>
      <c r="X45" s="45" t="n">
        <v>57</v>
      </c>
      <c r="Y45" s="46" t="n">
        <f aca="false">(X45/X$15)*50+50</f>
        <v>78.5</v>
      </c>
      <c r="Z45" s="46" t="n">
        <f aca="false">Y45*0.5</f>
        <v>39.25</v>
      </c>
      <c r="AA45" s="47" t="n">
        <f aca="false">SUM(Z45,W45,O45)</f>
        <v>80.25</v>
      </c>
      <c r="AB45" s="50"/>
      <c r="AC45" s="51"/>
      <c r="AD45" s="51"/>
      <c r="AE45" s="51"/>
      <c r="AF45" s="51"/>
      <c r="AG45" s="51"/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IBAÑEZ , ALFON FRANC DELA CRUZ</v>
      </c>
      <c r="C46" s="45" t="n">
        <v>12</v>
      </c>
      <c r="D46" s="45" t="n">
        <v>6</v>
      </c>
      <c r="E46" s="45"/>
      <c r="F46" s="45"/>
      <c r="G46" s="45"/>
      <c r="H46" s="45"/>
      <c r="I46" s="45"/>
      <c r="J46" s="45"/>
      <c r="K46" s="45"/>
      <c r="L46" s="45"/>
      <c r="M46" s="46" t="n">
        <f aca="false">SUMIF(C46:L46,"&lt;&gt;",C46:L46)</f>
        <v>18</v>
      </c>
      <c r="N46" s="46" t="n">
        <f aca="false">(M46/M$15)*50+50</f>
        <v>80</v>
      </c>
      <c r="O46" s="46" t="n">
        <f aca="false">N46*0.3</f>
        <v>24</v>
      </c>
      <c r="P46" s="45" t="n">
        <v>90</v>
      </c>
      <c r="Q46" s="45"/>
      <c r="R46" s="45"/>
      <c r="S46" s="45"/>
      <c r="T46" s="45"/>
      <c r="U46" s="46" t="n">
        <f aca="false">SUMIF(P46:T46,"&lt;&gt;",P46:T46)</f>
        <v>90</v>
      </c>
      <c r="V46" s="46" t="n">
        <f aca="false">(U46/U$15)*50+50</f>
        <v>95</v>
      </c>
      <c r="W46" s="46" t="n">
        <f aca="false">V46*0.2</f>
        <v>19</v>
      </c>
      <c r="X46" s="45" t="n">
        <v>66</v>
      </c>
      <c r="Y46" s="46" t="n">
        <f aca="false">(X46/X$15)*50+50</f>
        <v>83</v>
      </c>
      <c r="Z46" s="46" t="n">
        <f aca="false">Y46*0.5</f>
        <v>41.5</v>
      </c>
      <c r="AA46" s="47" t="n">
        <f aca="false">SUM(Z46,W46,O46)</f>
        <v>84.5</v>
      </c>
      <c r="AB46" s="50"/>
      <c r="AC46" s="51"/>
      <c r="AD46" s="51"/>
      <c r="AE46" s="51"/>
      <c r="AF46" s="51"/>
      <c r="AG46" s="51"/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IBAÑEZ, LEO CASSANDRE DIONILLO</v>
      </c>
      <c r="C47" s="45" t="n">
        <v>5</v>
      </c>
      <c r="D47" s="45" t="n">
        <v>8</v>
      </c>
      <c r="E47" s="45"/>
      <c r="F47" s="45"/>
      <c r="G47" s="45"/>
      <c r="H47" s="45"/>
      <c r="I47" s="45"/>
      <c r="J47" s="45"/>
      <c r="K47" s="45"/>
      <c r="L47" s="45"/>
      <c r="M47" s="46" t="n">
        <f aca="false">SUMIF(C47:L47,"&lt;&gt;",C47:L47)</f>
        <v>13</v>
      </c>
      <c r="N47" s="46" t="n">
        <f aca="false">(M47/M$15)*50+50</f>
        <v>71.6666666666667</v>
      </c>
      <c r="O47" s="46" t="n">
        <f aca="false">N47*0.3</f>
        <v>21.5</v>
      </c>
      <c r="P47" s="45" t="n">
        <v>90</v>
      </c>
      <c r="Q47" s="45"/>
      <c r="R47" s="45"/>
      <c r="S47" s="45"/>
      <c r="T47" s="45"/>
      <c r="U47" s="46" t="n">
        <f aca="false">SUMIF(P47:T47,"&lt;&gt;",P47:T47)</f>
        <v>90</v>
      </c>
      <c r="V47" s="46" t="n">
        <f aca="false">(U47/U$15)*50+50</f>
        <v>95</v>
      </c>
      <c r="W47" s="46" t="n">
        <f aca="false">V47*0.2</f>
        <v>19</v>
      </c>
      <c r="X47" s="45" t="n">
        <v>59</v>
      </c>
      <c r="Y47" s="46" t="n">
        <f aca="false">(X47/X$15)*50+50</f>
        <v>79.5</v>
      </c>
      <c r="Z47" s="46" t="n">
        <f aca="false">Y47*0.5</f>
        <v>39.75</v>
      </c>
      <c r="AA47" s="47" t="n">
        <f aca="false">SUM(Z47,W47,O47)</f>
        <v>80.25</v>
      </c>
      <c r="AB47" s="50"/>
      <c r="AC47" s="51"/>
      <c r="AD47" s="51"/>
      <c r="AE47" s="51"/>
      <c r="AF47" s="51"/>
      <c r="AG47" s="51"/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ILUSTRISIMO, REYNALDO SAYSON</v>
      </c>
      <c r="C48" s="45" t="n">
        <v>9</v>
      </c>
      <c r="D48" s="45" t="n">
        <v>8</v>
      </c>
      <c r="E48" s="45"/>
      <c r="F48" s="45"/>
      <c r="G48" s="45"/>
      <c r="H48" s="45"/>
      <c r="I48" s="45"/>
      <c r="J48" s="45"/>
      <c r="K48" s="45"/>
      <c r="L48" s="45"/>
      <c r="M48" s="46" t="n">
        <f aca="false">SUMIF(C48:L48,"&lt;&gt;",C48:L48)</f>
        <v>17</v>
      </c>
      <c r="N48" s="46" t="n">
        <f aca="false">(M48/M$15)*50+50</f>
        <v>78.3333333333333</v>
      </c>
      <c r="O48" s="46" t="n">
        <f aca="false">N48*0.3</f>
        <v>23.5</v>
      </c>
      <c r="P48" s="45" t="n">
        <v>90</v>
      </c>
      <c r="Q48" s="45"/>
      <c r="R48" s="45"/>
      <c r="S48" s="45"/>
      <c r="T48" s="45"/>
      <c r="U48" s="46" t="n">
        <f aca="false">SUMIF(P48:T48,"&lt;&gt;",P48:T48)</f>
        <v>90</v>
      </c>
      <c r="V48" s="46" t="n">
        <f aca="false">(U48/U$15)*50+50</f>
        <v>95</v>
      </c>
      <c r="W48" s="46" t="n">
        <f aca="false">V48*0.2</f>
        <v>19</v>
      </c>
      <c r="X48" s="45" t="n">
        <v>48</v>
      </c>
      <c r="Y48" s="46" t="n">
        <f aca="false">(X48/X$15)*50+50</f>
        <v>74</v>
      </c>
      <c r="Z48" s="46" t="n">
        <f aca="false">Y48*0.5</f>
        <v>37</v>
      </c>
      <c r="AA48" s="47" t="n">
        <f aca="false">SUM(Z48,W48,O48)</f>
        <v>79.5</v>
      </c>
      <c r="AB48" s="50"/>
      <c r="AC48" s="51"/>
      <c r="AD48" s="51"/>
      <c r="AE48" s="51"/>
      <c r="AF48" s="51"/>
      <c r="AG48" s="51"/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ILUSTRISIMO, REYSHEL SAYSON</v>
      </c>
      <c r="C49" s="45" t="n">
        <v>9</v>
      </c>
      <c r="D49" s="45" t="n">
        <v>8</v>
      </c>
      <c r="E49" s="45"/>
      <c r="F49" s="45"/>
      <c r="G49" s="45"/>
      <c r="H49" s="45"/>
      <c r="I49" s="45"/>
      <c r="J49" s="45"/>
      <c r="K49" s="45"/>
      <c r="L49" s="45"/>
      <c r="M49" s="46" t="n">
        <f aca="false">SUMIF(C49:L49,"&lt;&gt;",C49:L49)</f>
        <v>17</v>
      </c>
      <c r="N49" s="46" t="n">
        <f aca="false">(M49/M$15)*50+50</f>
        <v>78.3333333333333</v>
      </c>
      <c r="O49" s="48" t="n">
        <f aca="false">N49*0.3</f>
        <v>23.5</v>
      </c>
      <c r="P49" s="45" t="n">
        <v>90</v>
      </c>
      <c r="Q49" s="45"/>
      <c r="R49" s="45"/>
      <c r="S49" s="45"/>
      <c r="T49" s="45"/>
      <c r="U49" s="46" t="n">
        <f aca="false">SUMIF(P49:T49,"&lt;&gt;",P49:T49)</f>
        <v>90</v>
      </c>
      <c r="V49" s="46" t="n">
        <f aca="false">(U49/U$15)*50+50</f>
        <v>95</v>
      </c>
      <c r="W49" s="46" t="n">
        <f aca="false">V49*0.2</f>
        <v>19</v>
      </c>
      <c r="X49" s="45" t="n">
        <v>48</v>
      </c>
      <c r="Y49" s="46" t="n">
        <f aca="false">(X49/X$15)*50+50</f>
        <v>74</v>
      </c>
      <c r="Z49" s="46" t="n">
        <f aca="false">Y49*0.5</f>
        <v>37</v>
      </c>
      <c r="AA49" s="47" t="n">
        <f aca="false">SUM(Z49,W49,O49)</f>
        <v>79.5</v>
      </c>
      <c r="AB49" s="50"/>
      <c r="AC49" s="51"/>
      <c r="AD49" s="51"/>
      <c r="AE49" s="51"/>
      <c r="AF49" s="51"/>
      <c r="AG49" s="51"/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JAIN, HARVEY ARIOLA</v>
      </c>
      <c r="C50" s="45" t="n">
        <v>12</v>
      </c>
      <c r="D50" s="45" t="n">
        <v>6</v>
      </c>
      <c r="E50" s="45"/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18</v>
      </c>
      <c r="N50" s="46" t="n">
        <f aca="false">(M50/M$15)*50+50</f>
        <v>80</v>
      </c>
      <c r="O50" s="48" t="n">
        <f aca="false">N50*0.3</f>
        <v>24</v>
      </c>
      <c r="P50" s="45" t="n">
        <v>90</v>
      </c>
      <c r="Q50" s="45"/>
      <c r="R50" s="45"/>
      <c r="S50" s="45"/>
      <c r="T50" s="45"/>
      <c r="U50" s="46" t="n">
        <f aca="false">SUMIF(P50:T50,"&lt;&gt;",P50:T50)</f>
        <v>90</v>
      </c>
      <c r="V50" s="46" t="n">
        <f aca="false">(U50/U$15)*50+50</f>
        <v>95</v>
      </c>
      <c r="W50" s="46" t="n">
        <f aca="false">V50*0.2</f>
        <v>19</v>
      </c>
      <c r="X50" s="45" t="n">
        <v>66</v>
      </c>
      <c r="Y50" s="46" t="n">
        <f aca="false">(X50/X$15)*50+50</f>
        <v>83</v>
      </c>
      <c r="Z50" s="46" t="n">
        <f aca="false">Y50*0.5</f>
        <v>41.5</v>
      </c>
      <c r="AA50" s="47" t="n">
        <f aca="false">SUM(Z50,W50,O50)</f>
        <v>84.5</v>
      </c>
      <c r="AB50" s="50"/>
      <c r="AC50" s="51"/>
      <c r="AD50" s="51"/>
      <c r="AE50" s="51"/>
      <c r="AF50" s="51"/>
      <c r="AG50" s="51"/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LACHICA, ALTHEIA ROSE CASIDSID</v>
      </c>
      <c r="C51" s="45" t="n">
        <v>5</v>
      </c>
      <c r="D51" s="45" t="n">
        <v>8</v>
      </c>
      <c r="E51" s="45"/>
      <c r="F51" s="45"/>
      <c r="G51" s="45"/>
      <c r="H51" s="45"/>
      <c r="I51" s="45"/>
      <c r="J51" s="45"/>
      <c r="K51" s="45"/>
      <c r="L51" s="45"/>
      <c r="M51" s="46" t="n">
        <f aca="false">SUMIF(C51:L51,"&lt;&gt;",C51:L51)</f>
        <v>13</v>
      </c>
      <c r="N51" s="46" t="n">
        <f aca="false">(M51/M$15)*50+50</f>
        <v>71.6666666666667</v>
      </c>
      <c r="O51" s="48" t="n">
        <f aca="false">N51*0.3</f>
        <v>21.5</v>
      </c>
      <c r="P51" s="45" t="n">
        <v>90</v>
      </c>
      <c r="Q51" s="45"/>
      <c r="R51" s="45"/>
      <c r="S51" s="45"/>
      <c r="T51" s="45"/>
      <c r="U51" s="46" t="n">
        <f aca="false">SUMIF(P51:T51,"&lt;&gt;",P51:T51)</f>
        <v>90</v>
      </c>
      <c r="V51" s="46" t="n">
        <f aca="false">(U51/U$15)*50+50</f>
        <v>95</v>
      </c>
      <c r="W51" s="46" t="n">
        <f aca="false">V51*0.2</f>
        <v>19</v>
      </c>
      <c r="X51" s="45" t="n">
        <v>59</v>
      </c>
      <c r="Y51" s="46" t="n">
        <f aca="false">(X51/X$15)*50+50</f>
        <v>79.5</v>
      </c>
      <c r="Z51" s="46" t="n">
        <f aca="false">Y51*0.5</f>
        <v>39.75</v>
      </c>
      <c r="AA51" s="47" t="n">
        <f aca="false">SUM(Z51,W51,O51)</f>
        <v>80.25</v>
      </c>
      <c r="AB51" s="50"/>
      <c r="AC51" s="51"/>
      <c r="AD51" s="51"/>
      <c r="AE51" s="51"/>
      <c r="AF51" s="51"/>
      <c r="AG51" s="51"/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LACSON, NOVIE VALENTINO</v>
      </c>
      <c r="C52" s="45" t="n">
        <v>13</v>
      </c>
      <c r="D52" s="45" t="n">
        <v>9</v>
      </c>
      <c r="E52" s="45"/>
      <c r="F52" s="45"/>
      <c r="G52" s="45"/>
      <c r="H52" s="45"/>
      <c r="I52" s="45"/>
      <c r="J52" s="45"/>
      <c r="K52" s="45"/>
      <c r="L52" s="45"/>
      <c r="M52" s="46" t="n">
        <f aca="false">SUMIF(C52:L52,"&lt;&gt;",C52:L52)</f>
        <v>22</v>
      </c>
      <c r="N52" s="46" t="n">
        <f aca="false">(M52/M$15)*50+50</f>
        <v>86.6666666666667</v>
      </c>
      <c r="O52" s="48" t="n">
        <f aca="false">N52*0.3</f>
        <v>26</v>
      </c>
      <c r="P52" s="45" t="n">
        <v>90</v>
      </c>
      <c r="Q52" s="45"/>
      <c r="R52" s="45"/>
      <c r="S52" s="45"/>
      <c r="T52" s="45"/>
      <c r="U52" s="46" t="n">
        <f aca="false">SUMIF(P52:T52,"&lt;&gt;",P52:T52)</f>
        <v>90</v>
      </c>
      <c r="V52" s="46" t="n">
        <f aca="false">(U52/U$15)*50+50</f>
        <v>95</v>
      </c>
      <c r="W52" s="46" t="n">
        <f aca="false">V52*0.2</f>
        <v>19</v>
      </c>
      <c r="X52" s="45" t="n">
        <v>64</v>
      </c>
      <c r="Y52" s="46" t="n">
        <f aca="false">(X52/X$15)*50+50</f>
        <v>82</v>
      </c>
      <c r="Z52" s="46" t="n">
        <f aca="false">Y52*0.5</f>
        <v>41</v>
      </c>
      <c r="AA52" s="47" t="n">
        <f aca="false">SUM(Z52,W52,O52)</f>
        <v>86</v>
      </c>
      <c r="AB52" s="50"/>
      <c r="AC52" s="51"/>
      <c r="AD52" s="51"/>
      <c r="AE52" s="51"/>
      <c r="AF52" s="51"/>
      <c r="AG52" s="51"/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LAURITO, MJ MEDES</v>
      </c>
      <c r="C53" s="45" t="n">
        <v>20</v>
      </c>
      <c r="D53" s="45" t="n">
        <v>8</v>
      </c>
      <c r="E53" s="45"/>
      <c r="F53" s="45"/>
      <c r="G53" s="45"/>
      <c r="H53" s="45"/>
      <c r="I53" s="45"/>
      <c r="J53" s="45"/>
      <c r="K53" s="45"/>
      <c r="L53" s="45"/>
      <c r="M53" s="46" t="n">
        <f aca="false">SUMIF(C53:L53,"&lt;&gt;",C53:L53)</f>
        <v>28</v>
      </c>
      <c r="N53" s="46" t="n">
        <f aca="false">(M53/M$15)*50+50</f>
        <v>96.6666666666667</v>
      </c>
      <c r="O53" s="48" t="n">
        <f aca="false">N53*0.3</f>
        <v>29</v>
      </c>
      <c r="P53" s="45" t="n">
        <v>95</v>
      </c>
      <c r="Q53" s="45"/>
      <c r="R53" s="45"/>
      <c r="S53" s="45"/>
      <c r="T53" s="45"/>
      <c r="U53" s="46" t="n">
        <f aca="false">SUMIF(P53:T53,"&lt;&gt;",P53:T53)</f>
        <v>95</v>
      </c>
      <c r="V53" s="46" t="n">
        <f aca="false">(U53/U$15)*50+50</f>
        <v>97.5</v>
      </c>
      <c r="W53" s="46" t="n">
        <f aca="false">V53*0.2</f>
        <v>19.5</v>
      </c>
      <c r="X53" s="45" t="n">
        <v>76</v>
      </c>
      <c r="Y53" s="46" t="n">
        <f aca="false">(X53/X$15)*50+50</f>
        <v>88</v>
      </c>
      <c r="Z53" s="46" t="n">
        <f aca="false">Y53*0.5</f>
        <v>44</v>
      </c>
      <c r="AA53" s="47" t="n">
        <f aca="false">SUM(Z53,W53,O53)</f>
        <v>92.5</v>
      </c>
      <c r="AB53" s="50"/>
      <c r="AC53" s="51"/>
      <c r="AD53" s="51"/>
      <c r="AE53" s="51"/>
      <c r="AF53" s="51"/>
      <c r="AG53" s="51"/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LAYAN, JOHN REL RAGO</v>
      </c>
      <c r="C54" s="45" t="n">
        <v>14</v>
      </c>
      <c r="D54" s="45" t="n">
        <v>9</v>
      </c>
      <c r="E54" s="45"/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23</v>
      </c>
      <c r="N54" s="46" t="n">
        <f aca="false">(M54/M$15)*50+50</f>
        <v>88.3333333333333</v>
      </c>
      <c r="O54" s="48" t="n">
        <f aca="false">N54*0.3</f>
        <v>26.5</v>
      </c>
      <c r="P54" s="45" t="n">
        <v>90</v>
      </c>
      <c r="Q54" s="45"/>
      <c r="R54" s="45"/>
      <c r="S54" s="45"/>
      <c r="T54" s="45"/>
      <c r="U54" s="46" t="n">
        <f aca="false">SUMIF(P54:T54,"&lt;&gt;",P54:T54)</f>
        <v>90</v>
      </c>
      <c r="V54" s="46" t="n">
        <f aca="false">(U54/U$15)*50+50</f>
        <v>95</v>
      </c>
      <c r="W54" s="46" t="n">
        <f aca="false">V54*0.2</f>
        <v>19</v>
      </c>
      <c r="X54" s="45" t="n">
        <v>83</v>
      </c>
      <c r="Y54" s="46" t="n">
        <f aca="false">(X54/X$15)*50+50</f>
        <v>91.5</v>
      </c>
      <c r="Z54" s="46" t="n">
        <f aca="false">Y54*0.5</f>
        <v>45.75</v>
      </c>
      <c r="AA54" s="47" t="n">
        <f aca="false">SUM(Z54,W54,O54)</f>
        <v>91.25</v>
      </c>
      <c r="AB54" s="50"/>
      <c r="AC54" s="51"/>
      <c r="AD54" s="51"/>
      <c r="AE54" s="51"/>
      <c r="AF54" s="51"/>
      <c r="AG54" s="51"/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LIBRE, MARIEL CAUSAPIN</v>
      </c>
      <c r="C55" s="45" t="n">
        <v>20</v>
      </c>
      <c r="D55" s="45" t="n">
        <v>9</v>
      </c>
      <c r="E55" s="45"/>
      <c r="F55" s="45"/>
      <c r="G55" s="45"/>
      <c r="H55" s="45"/>
      <c r="I55" s="45"/>
      <c r="J55" s="45"/>
      <c r="K55" s="45"/>
      <c r="L55" s="45"/>
      <c r="M55" s="46" t="n">
        <f aca="false">SUMIF(C55:L55,"&lt;&gt;",C55:L55)</f>
        <v>29</v>
      </c>
      <c r="N55" s="46" t="n">
        <f aca="false">(M55/M$15)*50+50</f>
        <v>98.3333333333333</v>
      </c>
      <c r="O55" s="48" t="n">
        <f aca="false">N55*0.3</f>
        <v>29.5</v>
      </c>
      <c r="P55" s="45" t="n">
        <v>95</v>
      </c>
      <c r="Q55" s="45"/>
      <c r="R55" s="45"/>
      <c r="S55" s="45"/>
      <c r="T55" s="45"/>
      <c r="U55" s="46" t="n">
        <f aca="false">SUMIF(P55:T55,"&lt;&gt;",P55:T55)</f>
        <v>95</v>
      </c>
      <c r="V55" s="46" t="n">
        <f aca="false">(U55/U$15)*50+50</f>
        <v>97.5</v>
      </c>
      <c r="W55" s="46" t="n">
        <f aca="false">V55*0.2</f>
        <v>19.5</v>
      </c>
      <c r="X55" s="45" t="n">
        <v>87</v>
      </c>
      <c r="Y55" s="46" t="n">
        <f aca="false">(X55/X$15)*50+50</f>
        <v>93.5</v>
      </c>
      <c r="Z55" s="46" t="n">
        <f aca="false">Y55*0.5</f>
        <v>46.75</v>
      </c>
      <c r="AA55" s="47" t="n">
        <f aca="false">SUM(Z55,W55,O55)</f>
        <v>95.75</v>
      </c>
      <c r="AB55" s="50"/>
      <c r="AC55" s="51"/>
      <c r="AD55" s="51"/>
      <c r="AE55" s="51"/>
      <c r="AF55" s="51"/>
      <c r="AG55" s="51"/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LIRAZAN, ADRIAN PANONCIAL</v>
      </c>
      <c r="C56" s="45" t="n">
        <v>20</v>
      </c>
      <c r="D56" s="45" t="n">
        <v>8</v>
      </c>
      <c r="E56" s="45"/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28</v>
      </c>
      <c r="N56" s="46" t="n">
        <f aca="false">(M56/M$15)*50+50</f>
        <v>96.6666666666667</v>
      </c>
      <c r="O56" s="48" t="n">
        <f aca="false">N56*0.3</f>
        <v>29</v>
      </c>
      <c r="P56" s="45" t="n">
        <v>95</v>
      </c>
      <c r="Q56" s="45"/>
      <c r="R56" s="45"/>
      <c r="S56" s="45"/>
      <c r="T56" s="45"/>
      <c r="U56" s="46" t="n">
        <f aca="false">SUMIF(P56:T56,"&lt;&gt;",P56:T56)</f>
        <v>95</v>
      </c>
      <c r="V56" s="46" t="n">
        <f aca="false">(U56/U$15)*50+50</f>
        <v>97.5</v>
      </c>
      <c r="W56" s="46" t="n">
        <f aca="false">V56*0.2</f>
        <v>19.5</v>
      </c>
      <c r="X56" s="45" t="n">
        <v>76</v>
      </c>
      <c r="Y56" s="46" t="n">
        <f aca="false">(X56/X$15)*50+50</f>
        <v>88</v>
      </c>
      <c r="Z56" s="46" t="n">
        <f aca="false">Y56*0.5</f>
        <v>44</v>
      </c>
      <c r="AA56" s="47" t="n">
        <f aca="false">SUM(Z56,W56,O56)</f>
        <v>92.5</v>
      </c>
      <c r="AB56" s="50"/>
      <c r="AC56" s="51"/>
      <c r="AD56" s="51"/>
      <c r="AE56" s="51"/>
      <c r="AF56" s="51"/>
      <c r="AG56" s="51"/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LOZANA, REGEL KEN MAGDAEL</v>
      </c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6" t="n">
        <f aca="false">SUMIF(C57:L57,"&lt;&gt;",C57:L57)</f>
        <v>0</v>
      </c>
      <c r="N57" s="46" t="n">
        <f aca="false">(M57/M$15)*50+50</f>
        <v>50</v>
      </c>
      <c r="O57" s="48" t="n">
        <f aca="false">N57*0.3</f>
        <v>15</v>
      </c>
      <c r="P57" s="45"/>
      <c r="Q57" s="45"/>
      <c r="R57" s="45"/>
      <c r="S57" s="45"/>
      <c r="T57" s="45"/>
      <c r="U57" s="46" t="n">
        <f aca="false">SUMIF(P57:T57,"&lt;&gt;",P57:T57)</f>
        <v>0</v>
      </c>
      <c r="V57" s="46" t="n">
        <f aca="false">(U57/U$15)*50+50</f>
        <v>50</v>
      </c>
      <c r="W57" s="46" t="n">
        <f aca="false">V57*0.2</f>
        <v>10</v>
      </c>
      <c r="X57" s="45"/>
      <c r="Y57" s="46" t="n">
        <f aca="false">(X57/X$15)*50+50</f>
        <v>50</v>
      </c>
      <c r="Z57" s="46" t="n">
        <f aca="false">Y57*0.5</f>
        <v>25</v>
      </c>
      <c r="AA57" s="47" t="n">
        <f aca="false">SUM(Z57,W57,O57)</f>
        <v>50</v>
      </c>
      <c r="AB57" s="50"/>
      <c r="AC57" s="51"/>
      <c r="AD57" s="51"/>
      <c r="AE57" s="51"/>
      <c r="AF57" s="51"/>
      <c r="AG57" s="51"/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LUCASAN, ARC XERLAN DULLA</v>
      </c>
      <c r="C58" s="45" t="n">
        <v>18</v>
      </c>
      <c r="D58" s="45" t="n">
        <v>7</v>
      </c>
      <c r="E58" s="45"/>
      <c r="F58" s="45"/>
      <c r="G58" s="45"/>
      <c r="H58" s="45"/>
      <c r="I58" s="45"/>
      <c r="J58" s="45"/>
      <c r="K58" s="45"/>
      <c r="L58" s="45"/>
      <c r="M58" s="46" t="n">
        <f aca="false">SUMIF(C58:L58,"&lt;&gt;",C58:L58)</f>
        <v>25</v>
      </c>
      <c r="N58" s="46" t="n">
        <f aca="false">(M58/M$15)*50+50</f>
        <v>91.6666666666667</v>
      </c>
      <c r="O58" s="48" t="n">
        <f aca="false">N58*0.3</f>
        <v>27.5</v>
      </c>
      <c r="P58" s="45" t="n">
        <v>90</v>
      </c>
      <c r="Q58" s="45"/>
      <c r="R58" s="45"/>
      <c r="S58" s="45"/>
      <c r="T58" s="45"/>
      <c r="U58" s="46" t="n">
        <f aca="false">SUMIF(P58:T58,"&lt;&gt;",P58:T58)</f>
        <v>90</v>
      </c>
      <c r="V58" s="46" t="n">
        <f aca="false">(U58/U$15)*50+50</f>
        <v>95</v>
      </c>
      <c r="W58" s="46" t="n">
        <f aca="false">V58*0.2</f>
        <v>19</v>
      </c>
      <c r="X58" s="45" t="n">
        <v>70</v>
      </c>
      <c r="Y58" s="46" t="n">
        <f aca="false">(X58/X$15)*50+50</f>
        <v>85</v>
      </c>
      <c r="Z58" s="46" t="n">
        <f aca="false">Y58*0.5</f>
        <v>42.5</v>
      </c>
      <c r="AA58" s="47" t="n">
        <f aca="false">SUM(Z58,W58,O58)</f>
        <v>89</v>
      </c>
      <c r="AB58" s="50"/>
      <c r="AC58" s="51"/>
      <c r="AD58" s="51"/>
      <c r="AE58" s="51"/>
      <c r="AF58" s="51"/>
      <c r="AG58" s="51"/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SILPAO, ADRIAN FREDERICK GATDULA</v>
      </c>
      <c r="C59" s="45" t="n">
        <v>12</v>
      </c>
      <c r="D59" s="45" t="n">
        <v>10</v>
      </c>
      <c r="E59" s="45"/>
      <c r="F59" s="45"/>
      <c r="G59" s="45"/>
      <c r="H59" s="45"/>
      <c r="I59" s="45"/>
      <c r="J59" s="45"/>
      <c r="K59" s="45"/>
      <c r="L59" s="45"/>
      <c r="M59" s="46" t="n">
        <f aca="false">SUMIF(C59:L59,"&lt;&gt;",C59:L59)</f>
        <v>22</v>
      </c>
      <c r="N59" s="46" t="n">
        <f aca="false">(M59/M$15)*50+50</f>
        <v>86.6666666666667</v>
      </c>
      <c r="O59" s="48" t="n">
        <f aca="false">N59*0.3</f>
        <v>26</v>
      </c>
      <c r="P59" s="45" t="n">
        <v>100</v>
      </c>
      <c r="Q59" s="45"/>
      <c r="R59" s="45"/>
      <c r="S59" s="45"/>
      <c r="T59" s="45"/>
      <c r="U59" s="46" t="n">
        <f aca="false">SUMIF(P59:T59,"&lt;&gt;",P59:T59)</f>
        <v>100</v>
      </c>
      <c r="V59" s="46" t="n">
        <f aca="false">(U59/U$15)*50+50</f>
        <v>100</v>
      </c>
      <c r="W59" s="46" t="n">
        <f aca="false">V59*0.2</f>
        <v>20</v>
      </c>
      <c r="X59" s="45" t="n">
        <v>87</v>
      </c>
      <c r="Y59" s="46" t="n">
        <f aca="false">(X59/X$15)*50+50</f>
        <v>93.5</v>
      </c>
      <c r="Z59" s="46" t="n">
        <f aca="false">Y59*0.5</f>
        <v>46.75</v>
      </c>
      <c r="AA59" s="47" t="n">
        <f aca="false">SUM(Z59,W59,O59)</f>
        <v>92.75</v>
      </c>
      <c r="AB59" s="50"/>
      <c r="AC59" s="51"/>
      <c r="AD59" s="51"/>
      <c r="AE59" s="51"/>
      <c r="AF59" s="51"/>
      <c r="AG59" s="51"/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SILPAO, ANDREI ANTONIO GATDULA</v>
      </c>
      <c r="C60" s="45" t="n">
        <v>12</v>
      </c>
      <c r="D60" s="45" t="n">
        <v>10</v>
      </c>
      <c r="E60" s="45"/>
      <c r="F60" s="45"/>
      <c r="G60" s="45"/>
      <c r="H60" s="45"/>
      <c r="I60" s="45"/>
      <c r="J60" s="45"/>
      <c r="K60" s="45"/>
      <c r="L60" s="45"/>
      <c r="M60" s="46" t="n">
        <f aca="false">SUMIF(C60:L60,"&lt;&gt;",C60:L60)</f>
        <v>22</v>
      </c>
      <c r="N60" s="46" t="n">
        <f aca="false">(M60/M$15)*50+50</f>
        <v>86.6666666666667</v>
      </c>
      <c r="O60" s="48" t="n">
        <f aca="false">N60*0.3</f>
        <v>26</v>
      </c>
      <c r="P60" s="45" t="n">
        <v>100</v>
      </c>
      <c r="Q60" s="45"/>
      <c r="R60" s="45"/>
      <c r="S60" s="45"/>
      <c r="T60" s="45"/>
      <c r="U60" s="46" t="n">
        <f aca="false">SUMIF(P60:T60,"&lt;&gt;",P60:T60)</f>
        <v>100</v>
      </c>
      <c r="V60" s="46" t="n">
        <f aca="false">(U60/U$15)*50+50</f>
        <v>100</v>
      </c>
      <c r="W60" s="46" t="n">
        <f aca="false">V60*0.2</f>
        <v>20</v>
      </c>
      <c r="X60" s="45" t="n">
        <v>87</v>
      </c>
      <c r="Y60" s="46" t="n">
        <f aca="false">(X60/X$15)*50+50</f>
        <v>93.5</v>
      </c>
      <c r="Z60" s="46" t="n">
        <f aca="false">Y60*0.5</f>
        <v>46.75</v>
      </c>
      <c r="AA60" s="47" t="n">
        <f aca="false">SUM(Z60,W60,O60)</f>
        <v>92.75</v>
      </c>
      <c r="AB60" s="50"/>
      <c r="AC60" s="51"/>
      <c r="AD60" s="51"/>
      <c r="AE60" s="51"/>
      <c r="AF60" s="51"/>
      <c r="AG60" s="51"/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SUMAGAYSAY, MAY ANN MOREÑO</v>
      </c>
      <c r="C61" s="45" t="n">
        <v>12</v>
      </c>
      <c r="D61" s="45" t="n">
        <v>10</v>
      </c>
      <c r="E61" s="45"/>
      <c r="F61" s="45"/>
      <c r="G61" s="45"/>
      <c r="H61" s="45"/>
      <c r="I61" s="45"/>
      <c r="J61" s="45"/>
      <c r="K61" s="45"/>
      <c r="L61" s="45"/>
      <c r="M61" s="46" t="n">
        <f aca="false">SUMIF(C61:L61,"&lt;&gt;",C61:L61)</f>
        <v>22</v>
      </c>
      <c r="N61" s="46" t="n">
        <f aca="false">(M61/M$15)*50+50</f>
        <v>86.6666666666667</v>
      </c>
      <c r="O61" s="48" t="n">
        <f aca="false">N61*0.3</f>
        <v>26</v>
      </c>
      <c r="P61" s="45" t="n">
        <v>100</v>
      </c>
      <c r="Q61" s="45"/>
      <c r="R61" s="45"/>
      <c r="S61" s="45"/>
      <c r="T61" s="45"/>
      <c r="U61" s="46" t="n">
        <f aca="false">SUMIF(P61:T61,"&lt;&gt;",P61:T61)</f>
        <v>100</v>
      </c>
      <c r="V61" s="46" t="n">
        <f aca="false">(U61/U$15)*50+50</f>
        <v>100</v>
      </c>
      <c r="W61" s="46" t="n">
        <f aca="false">V61*0.2</f>
        <v>20</v>
      </c>
      <c r="X61" s="45" t="n">
        <v>87</v>
      </c>
      <c r="Y61" s="46" t="n">
        <f aca="false">(X61/X$15)*50+50</f>
        <v>93.5</v>
      </c>
      <c r="Z61" s="46" t="n">
        <f aca="false">Y61*0.5</f>
        <v>46.75</v>
      </c>
      <c r="AA61" s="47" t="n">
        <f aca="false">SUM(Z61,W61,O61)</f>
        <v>92.75</v>
      </c>
      <c r="AB61" s="50"/>
      <c r="AC61" s="51"/>
      <c r="AD61" s="51"/>
      <c r="AE61" s="51"/>
      <c r="AF61" s="51"/>
      <c r="AG61" s="51"/>
    </row>
    <row r="62" customFormat="false" ht="15" hidden="false" customHeight="false" outlineLevel="0" collapsed="false">
      <c r="A62" s="43" t="n">
        <f aca="false">'Input Data'!B66</f>
        <v>47</v>
      </c>
      <c r="B62" s="44" t="str">
        <f aca="false">'Input Data'!C66</f>
        <v>TAGULALAC, ANDREI CHRISTOPHER RAVINA</v>
      </c>
      <c r="C62" s="45" t="n">
        <v>20</v>
      </c>
      <c r="D62" s="45" t="n">
        <v>8</v>
      </c>
      <c r="E62" s="45"/>
      <c r="F62" s="45"/>
      <c r="G62" s="45"/>
      <c r="H62" s="45"/>
      <c r="I62" s="45"/>
      <c r="J62" s="45"/>
      <c r="K62" s="45"/>
      <c r="L62" s="45"/>
      <c r="M62" s="46" t="n">
        <f aca="false">SUMIF(C62:L62,"&lt;&gt;",C62:L62)</f>
        <v>28</v>
      </c>
      <c r="N62" s="46" t="n">
        <f aca="false">(M62/M$15)*50+50</f>
        <v>96.6666666666667</v>
      </c>
      <c r="O62" s="48" t="n">
        <f aca="false">N62*0.3</f>
        <v>29</v>
      </c>
      <c r="P62" s="45" t="n">
        <v>95</v>
      </c>
      <c r="Q62" s="45"/>
      <c r="R62" s="45"/>
      <c r="S62" s="45"/>
      <c r="T62" s="45"/>
      <c r="U62" s="46" t="n">
        <f aca="false">SUMIF(P62:T62,"&lt;&gt;",P62:T62)</f>
        <v>95</v>
      </c>
      <c r="V62" s="46" t="n">
        <f aca="false">(U62/U$15)*50+50</f>
        <v>97.5</v>
      </c>
      <c r="W62" s="46" t="n">
        <f aca="false">V62*0.2</f>
        <v>19.5</v>
      </c>
      <c r="X62" s="45" t="n">
        <v>76</v>
      </c>
      <c r="Y62" s="46" t="n">
        <f aca="false">(X62/X$15)*50+50</f>
        <v>88</v>
      </c>
      <c r="Z62" s="46" t="n">
        <f aca="false">Y62*0.5</f>
        <v>44</v>
      </c>
      <c r="AA62" s="47" t="n">
        <f aca="false">SUM(Z62,W62,O62)</f>
        <v>92.5</v>
      </c>
      <c r="AB62" s="50"/>
      <c r="AC62" s="51"/>
      <c r="AD62" s="51"/>
      <c r="AE62" s="51"/>
      <c r="AF62" s="51"/>
      <c r="AG62" s="51"/>
    </row>
    <row r="63" customFormat="false" ht="15" hidden="false" customHeight="false" outlineLevel="0" collapsed="false">
      <c r="A63" s="43" t="n">
        <f aca="false">'Input Data'!B67</f>
        <v>48</v>
      </c>
      <c r="B63" s="44" t="str">
        <f aca="false">'Input Data'!C67</f>
        <v>TANAYA, KENNA ROSE DEE PERDENIA</v>
      </c>
      <c r="C63" s="45" t="n">
        <v>12</v>
      </c>
      <c r="D63" s="45" t="n">
        <v>10</v>
      </c>
      <c r="E63" s="45"/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22</v>
      </c>
      <c r="N63" s="46" t="n">
        <f aca="false">(M63/M$15)*50+50</f>
        <v>86.6666666666667</v>
      </c>
      <c r="O63" s="48" t="n">
        <f aca="false">N63*0.3</f>
        <v>26</v>
      </c>
      <c r="P63" s="45" t="n">
        <v>100</v>
      </c>
      <c r="Q63" s="45"/>
      <c r="R63" s="45"/>
      <c r="S63" s="45"/>
      <c r="T63" s="45"/>
      <c r="U63" s="46" t="n">
        <f aca="false">SUMIF(P63:T63,"&lt;&gt;",P63:T63)</f>
        <v>100</v>
      </c>
      <c r="V63" s="46" t="n">
        <f aca="false">(U63/U$15)*50+50</f>
        <v>100</v>
      </c>
      <c r="W63" s="46" t="n">
        <f aca="false">V63*0.2</f>
        <v>20</v>
      </c>
      <c r="X63" s="45" t="n">
        <v>87</v>
      </c>
      <c r="Y63" s="46" t="n">
        <f aca="false">(X63/X$15)*50+50</f>
        <v>93.5</v>
      </c>
      <c r="Z63" s="46" t="n">
        <f aca="false">Y63*0.5</f>
        <v>46.75</v>
      </c>
      <c r="AA63" s="47" t="n">
        <f aca="false">SUM(Z63,W63,O63)</f>
        <v>92.75</v>
      </c>
      <c r="AB63" s="50"/>
      <c r="AC63" s="51"/>
      <c r="AD63" s="51"/>
      <c r="AE63" s="51"/>
      <c r="AF63" s="51"/>
      <c r="AG63" s="51"/>
    </row>
    <row r="64" customFormat="false" ht="15" hidden="false" customHeight="false" outlineLevel="0" collapsed="false">
      <c r="A64" s="43" t="n">
        <f aca="false">'Input Data'!B68</f>
        <v>49</v>
      </c>
      <c r="B64" s="44" t="str">
        <f aca="false">'Input Data'!C68</f>
        <v>LAPUZ, KEN HUXLEY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0</v>
      </c>
      <c r="N64" s="46" t="n">
        <f aca="false">(M64/M$15)*50+50</f>
        <v>50</v>
      </c>
      <c r="O64" s="48" t="n">
        <f aca="false">N64*0.3</f>
        <v>15</v>
      </c>
      <c r="P64" s="45"/>
      <c r="Q64" s="45"/>
      <c r="R64" s="45"/>
      <c r="S64" s="45"/>
      <c r="T64" s="45"/>
      <c r="U64" s="46" t="n">
        <f aca="false">SUMIF(P64:T64,"&lt;&gt;",P64:T64)</f>
        <v>0</v>
      </c>
      <c r="V64" s="46" t="n">
        <f aca="false">(U64/U$15)*50+50</f>
        <v>50</v>
      </c>
      <c r="W64" s="46" t="n">
        <f aca="false">V64*0.2</f>
        <v>10</v>
      </c>
      <c r="X64" s="45"/>
      <c r="Y64" s="46" t="n">
        <f aca="false">(X64/X$15)*50+50</f>
        <v>50</v>
      </c>
      <c r="Z64" s="46" t="n">
        <f aca="false">Y64*0.5</f>
        <v>25</v>
      </c>
      <c r="AA64" s="47" t="n">
        <f aca="false">SUM(Z64,W64,O64)</f>
        <v>50</v>
      </c>
      <c r="AB64" s="50"/>
      <c r="AC64" s="51"/>
      <c r="AD64" s="51"/>
      <c r="AE64" s="51"/>
      <c r="AF64" s="51"/>
      <c r="AG64" s="51"/>
    </row>
    <row r="65" customFormat="false" ht="15" hidden="false" customHeight="false" outlineLevel="0" collapsed="false">
      <c r="A65" s="43" t="str">
        <f aca="false">'Input Data'!B69</f>
        <v/>
      </c>
      <c r="B65" s="44" t="n">
        <f aca="false">'Input Data'!C69</f>
        <v>0</v>
      </c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0</v>
      </c>
      <c r="N65" s="46" t="n">
        <f aca="false">(M65/M$15)*50+50</f>
        <v>50</v>
      </c>
      <c r="O65" s="48" t="n">
        <f aca="false">N65*0.3</f>
        <v>15</v>
      </c>
      <c r="P65" s="45"/>
      <c r="Q65" s="45"/>
      <c r="R65" s="45"/>
      <c r="S65" s="45"/>
      <c r="T65" s="45"/>
      <c r="U65" s="46" t="n">
        <f aca="false">SUMIF(P65:T65,"&lt;&gt;",P65:T65)</f>
        <v>0</v>
      </c>
      <c r="V65" s="46" t="n">
        <f aca="false">(U65/U$15)*50+50</f>
        <v>50</v>
      </c>
      <c r="W65" s="46" t="n">
        <f aca="false">V65*0.2</f>
        <v>10</v>
      </c>
      <c r="X65" s="45"/>
      <c r="Y65" s="46" t="n">
        <f aca="false">(X65/X$15)*50+50</f>
        <v>50</v>
      </c>
      <c r="Z65" s="46" t="n">
        <f aca="false">Y65*0.5</f>
        <v>25</v>
      </c>
      <c r="AA65" s="47" t="n">
        <f aca="false">SUM(Z65,W65,O65)</f>
        <v>50</v>
      </c>
      <c r="AB65" s="50"/>
      <c r="AC65" s="51"/>
      <c r="AD65" s="51"/>
      <c r="AE65" s="51"/>
      <c r="AF65" s="51"/>
      <c r="AG65" s="51"/>
    </row>
    <row r="66" customFormat="false" ht="15" hidden="false" customHeight="false" outlineLevel="0" collapsed="false">
      <c r="A66" s="43" t="str">
        <f aca="false">'Input Data'!B70</f>
        <v/>
      </c>
      <c r="B66" s="44" t="n">
        <f aca="false">'Input Data'!C70</f>
        <v>0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0</v>
      </c>
      <c r="N66" s="46" t="n">
        <f aca="false">(M66/M$15)*50+50</f>
        <v>50</v>
      </c>
      <c r="O66" s="48" t="n">
        <f aca="false">N66*0.3</f>
        <v>15</v>
      </c>
      <c r="P66" s="45"/>
      <c r="Q66" s="45"/>
      <c r="R66" s="45"/>
      <c r="S66" s="45"/>
      <c r="T66" s="45"/>
      <c r="U66" s="46" t="n">
        <f aca="false">SUMIF(P66:T66,"&lt;&gt;",P66:T66)</f>
        <v>0</v>
      </c>
      <c r="V66" s="46" t="n">
        <f aca="false">(U66/U$15)*50+50</f>
        <v>50</v>
      </c>
      <c r="W66" s="46" t="n">
        <f aca="false">V66*0.2</f>
        <v>10</v>
      </c>
      <c r="X66" s="45"/>
      <c r="Y66" s="46" t="n">
        <f aca="false">(X66/X$15)*50+50</f>
        <v>50</v>
      </c>
      <c r="Z66" s="46" t="n">
        <f aca="false">Y66*0.5</f>
        <v>25</v>
      </c>
      <c r="AA66" s="47" t="n">
        <f aca="false">SUM(Z66,W66,O66)</f>
        <v>50</v>
      </c>
      <c r="AB66" s="50"/>
      <c r="AC66" s="51"/>
      <c r="AD66" s="51"/>
      <c r="AE66" s="51"/>
      <c r="AF66" s="51"/>
      <c r="AG66" s="51"/>
    </row>
    <row r="67" customFormat="false" ht="15" hidden="false" customHeight="false" outlineLevel="0" collapsed="false">
      <c r="A67" s="43" t="str">
        <f aca="false">'Input Data'!B71</f>
        <v/>
      </c>
      <c r="B67" s="44" t="n">
        <f aca="false">'Input Data'!C71</f>
        <v>0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0</v>
      </c>
      <c r="N67" s="46" t="n">
        <f aca="false">(M67/M$15)*50+50</f>
        <v>50</v>
      </c>
      <c r="O67" s="48" t="n">
        <f aca="false">N67*0.3</f>
        <v>15</v>
      </c>
      <c r="P67" s="45"/>
      <c r="Q67" s="45"/>
      <c r="R67" s="45"/>
      <c r="S67" s="45"/>
      <c r="T67" s="45"/>
      <c r="U67" s="46" t="n">
        <f aca="false">SUMIF(P67:T67,"&lt;&gt;",P67:T67)</f>
        <v>0</v>
      </c>
      <c r="V67" s="46" t="n">
        <f aca="false">(U67/U$15)*50+50</f>
        <v>50</v>
      </c>
      <c r="W67" s="46" t="n">
        <f aca="false">V67*0.2</f>
        <v>10</v>
      </c>
      <c r="X67" s="45"/>
      <c r="Y67" s="46" t="n">
        <f aca="false">(X67/X$15)*50+50</f>
        <v>50</v>
      </c>
      <c r="Z67" s="46" t="n">
        <f aca="false">Y67*0.5</f>
        <v>25</v>
      </c>
      <c r="AA67" s="47" t="n">
        <f aca="false">SUM(Z67,W67,O67)</f>
        <v>50</v>
      </c>
      <c r="AB67" s="50"/>
      <c r="AC67" s="51"/>
      <c r="AD67" s="51"/>
      <c r="AE67" s="51"/>
      <c r="AF67" s="51"/>
      <c r="AG67" s="51"/>
    </row>
    <row r="68" customFormat="false" ht="15" hidden="false" customHeight="false" outlineLevel="0" collapsed="false">
      <c r="A68" s="43" t="str">
        <f aca="false">'Input Data'!B72</f>
        <v/>
      </c>
      <c r="B68" s="44" t="n">
        <f aca="false">'Input Data'!C72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0</v>
      </c>
      <c r="N68" s="46" t="n">
        <f aca="false">(M68/M$15)*50+50</f>
        <v>50</v>
      </c>
      <c r="O68" s="48" t="n">
        <f aca="false">N68*0.3</f>
        <v>15</v>
      </c>
      <c r="P68" s="45"/>
      <c r="Q68" s="45"/>
      <c r="R68" s="45"/>
      <c r="S68" s="45"/>
      <c r="T68" s="45"/>
      <c r="U68" s="46" t="n">
        <f aca="false">SUMIF(P68:T68,"&lt;&gt;",P68:T68)</f>
        <v>0</v>
      </c>
      <c r="V68" s="46" t="n">
        <f aca="false">(U68/U$15)*50+50</f>
        <v>50</v>
      </c>
      <c r="W68" s="46" t="n">
        <f aca="false">V68*0.2</f>
        <v>10</v>
      </c>
      <c r="X68" s="45"/>
      <c r="Y68" s="46" t="n">
        <f aca="false">(X68/X$15)*50+50</f>
        <v>50</v>
      </c>
      <c r="Z68" s="46" t="n">
        <f aca="false">Y68*0.5</f>
        <v>25</v>
      </c>
      <c r="AA68" s="47" t="n">
        <f aca="false">SUM(Z68,W68,O68)</f>
        <v>50</v>
      </c>
      <c r="AB68" s="50"/>
      <c r="AC68" s="51"/>
      <c r="AD68" s="51"/>
      <c r="AE68" s="51"/>
      <c r="AF68" s="51"/>
      <c r="AG68" s="51"/>
    </row>
    <row r="69" customFormat="false" ht="15" hidden="false" customHeight="false" outlineLevel="0" collapsed="false">
      <c r="A69" s="43" t="str">
        <f aca="false">'Input Data'!B73</f>
        <v/>
      </c>
      <c r="B69" s="44" t="n">
        <f aca="false">'Input Data'!C73</f>
        <v>0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0</v>
      </c>
      <c r="N69" s="46" t="n">
        <f aca="false">(M69/M$15)*50+50</f>
        <v>50</v>
      </c>
      <c r="O69" s="48" t="n">
        <f aca="false">N69*0.3</f>
        <v>15</v>
      </c>
      <c r="P69" s="45"/>
      <c r="Q69" s="45"/>
      <c r="R69" s="45"/>
      <c r="S69" s="45"/>
      <c r="T69" s="45"/>
      <c r="U69" s="46" t="n">
        <f aca="false">SUMIF(P69:T69,"&lt;&gt;",P69:T69)</f>
        <v>0</v>
      </c>
      <c r="V69" s="46" t="n">
        <f aca="false">(U69/U$15)*50+50</f>
        <v>50</v>
      </c>
      <c r="W69" s="46" t="n">
        <f aca="false">V69*0.2</f>
        <v>10</v>
      </c>
      <c r="X69" s="45"/>
      <c r="Y69" s="46" t="n">
        <f aca="false">(X69/X$15)*50+50</f>
        <v>50</v>
      </c>
      <c r="Z69" s="46" t="n">
        <f aca="false">Y69*0.5</f>
        <v>25</v>
      </c>
      <c r="AA69" s="47" t="n">
        <f aca="false">SUM(Z69,W69,O69)</f>
        <v>50</v>
      </c>
      <c r="AB69" s="50"/>
      <c r="AC69" s="51"/>
      <c r="AD69" s="51"/>
      <c r="AE69" s="51"/>
      <c r="AF69" s="51"/>
      <c r="AG69" s="51"/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  <c r="AB70" s="50"/>
      <c r="AC70" s="51"/>
      <c r="AD70" s="51"/>
      <c r="AE70" s="51"/>
      <c r="AF70" s="51"/>
      <c r="AG70" s="51"/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  <c r="AB71" s="52"/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  <c r="AB72" s="52"/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  <c r="AB73" s="52"/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  <c r="AB74" s="52"/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  <c r="AB75" s="52"/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  <c r="AB76" s="52"/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  <c r="AB77" s="52"/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  <c r="AB78" s="52"/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  <c r="AB79" s="52"/>
    </row>
    <row r="80" customFormat="false" ht="15" hidden="false" customHeight="false" outlineLevel="0" collapsed="false">
      <c r="A80" s="43" t="n">
        <f aca="false">'Input Data'!B84</f>
        <v>0</v>
      </c>
      <c r="B80" s="44" t="n">
        <f aca="false">'Input Data'!C84</f>
        <v>0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6" t="n">
        <f aca="false">SUMIF(C80:L80,"&lt;&gt;",C80:L80)</f>
        <v>0</v>
      </c>
      <c r="N80" s="46" t="n">
        <f aca="false">(M80/M$15)*50+50</f>
        <v>50</v>
      </c>
      <c r="O80" s="48" t="n">
        <f aca="false">N80*0.3</f>
        <v>15</v>
      </c>
      <c r="P80" s="45"/>
      <c r="Q80" s="45"/>
      <c r="R80" s="45"/>
      <c r="S80" s="45"/>
      <c r="T80" s="45"/>
      <c r="U80" s="46" t="n">
        <f aca="false">SUMIF(P80:T80,"&lt;&gt;",P80:T80)</f>
        <v>0</v>
      </c>
      <c r="V80" s="46" t="n">
        <f aca="false">(U80/U$15)*50+50</f>
        <v>50</v>
      </c>
      <c r="W80" s="46" t="n">
        <f aca="false">V80*0.2</f>
        <v>10</v>
      </c>
      <c r="X80" s="45"/>
      <c r="Y80" s="46" t="n">
        <f aca="false">(X80/X$15)*50+50</f>
        <v>50</v>
      </c>
      <c r="Z80" s="46" t="n">
        <f aca="false">Y80*0.5</f>
        <v>25</v>
      </c>
      <c r="AA80" s="47" t="n">
        <f aca="false">SUM(Z80,W80,O80)</f>
        <v>50</v>
      </c>
      <c r="AB80" s="52"/>
    </row>
    <row r="81" customFormat="false" ht="15" hidden="false" customHeight="false" outlineLevel="0" collapsed="false">
      <c r="A81" s="43" t="n">
        <f aca="false">'Input Data'!B85</f>
        <v>0</v>
      </c>
      <c r="B81" s="44" t="n">
        <f aca="false">'Input Data'!C85</f>
        <v>0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6" t="n">
        <f aca="false">SUMIF(C81:L81,"&lt;&gt;",C81:L81)</f>
        <v>0</v>
      </c>
      <c r="N81" s="46" t="n">
        <f aca="false">(M81/M$15)*50+50</f>
        <v>50</v>
      </c>
      <c r="O81" s="48" t="n">
        <f aca="false">N81*0.3</f>
        <v>15</v>
      </c>
      <c r="P81" s="45"/>
      <c r="Q81" s="45"/>
      <c r="R81" s="45"/>
      <c r="S81" s="45"/>
      <c r="T81" s="45"/>
      <c r="U81" s="46" t="n">
        <f aca="false">SUMIF(P81:T81,"&lt;&gt;",P81:T81)</f>
        <v>0</v>
      </c>
      <c r="V81" s="46" t="n">
        <f aca="false">(U81/U$15)*50+50</f>
        <v>50</v>
      </c>
      <c r="W81" s="46" t="n">
        <f aca="false">V81*0.2</f>
        <v>10</v>
      </c>
      <c r="X81" s="45"/>
      <c r="Y81" s="46" t="n">
        <f aca="false">(X81/X$15)*50+50</f>
        <v>50</v>
      </c>
      <c r="Z81" s="46" t="n">
        <f aca="false">Y81*0.5</f>
        <v>25</v>
      </c>
      <c r="AA81" s="47" t="n">
        <f aca="false">SUM(Z81,W81,O81)</f>
        <v>50</v>
      </c>
      <c r="AB81" s="52"/>
    </row>
    <row r="82" customFormat="false" ht="15" hidden="false" customHeight="false" outlineLevel="0" collapsed="false">
      <c r="A82" s="43" t="n">
        <f aca="false">'Input Data'!B86</f>
        <v>0</v>
      </c>
      <c r="B82" s="44" t="n">
        <f aca="false">'Input Data'!C86</f>
        <v>0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6" t="n">
        <f aca="false">SUMIF(C82:L82,"&lt;&gt;",C82:L82)</f>
        <v>0</v>
      </c>
      <c r="N82" s="46" t="n">
        <f aca="false">(M82/M$15)*50+50</f>
        <v>50</v>
      </c>
      <c r="O82" s="48" t="n">
        <f aca="false">N82*0.3</f>
        <v>15</v>
      </c>
      <c r="P82" s="45"/>
      <c r="Q82" s="45"/>
      <c r="R82" s="45"/>
      <c r="S82" s="45"/>
      <c r="T82" s="45"/>
      <c r="U82" s="46" t="n">
        <f aca="false">SUMIF(P82:T82,"&lt;&gt;",P82:T82)</f>
        <v>0</v>
      </c>
      <c r="V82" s="46" t="n">
        <f aca="false">(U82/U$15)*50+50</f>
        <v>50</v>
      </c>
      <c r="W82" s="46" t="n">
        <f aca="false">V82*0.2</f>
        <v>10</v>
      </c>
      <c r="X82" s="45"/>
      <c r="Y82" s="46" t="n">
        <f aca="false">(X82/X$15)*50+50</f>
        <v>50</v>
      </c>
      <c r="Z82" s="46" t="n">
        <f aca="false">Y82*0.5</f>
        <v>25</v>
      </c>
      <c r="AA82" s="47" t="n">
        <f aca="false">SUM(Z82,W82,O82)</f>
        <v>50</v>
      </c>
      <c r="AB82" s="52"/>
    </row>
    <row r="83" customFormat="false" ht="15" hidden="false" customHeight="false" outlineLevel="0" collapsed="false">
      <c r="A83" s="43" t="n">
        <f aca="false">'Input Data'!B87</f>
        <v>0</v>
      </c>
      <c r="B83" s="44" t="n">
        <f aca="false">'Input Data'!C87</f>
        <v>0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6" t="n">
        <f aca="false">SUMIF(C83:L83,"&lt;&gt;",C83:L83)</f>
        <v>0</v>
      </c>
      <c r="N83" s="46" t="n">
        <f aca="false">(M83/M$15)*50+50</f>
        <v>50</v>
      </c>
      <c r="O83" s="48" t="n">
        <f aca="false">N83*0.3</f>
        <v>15</v>
      </c>
      <c r="P83" s="45"/>
      <c r="Q83" s="45"/>
      <c r="R83" s="45"/>
      <c r="S83" s="45"/>
      <c r="T83" s="45"/>
      <c r="U83" s="46" t="n">
        <f aca="false">SUMIF(P83:T83,"&lt;&gt;",P83:T83)</f>
        <v>0</v>
      </c>
      <c r="V83" s="46" t="n">
        <f aca="false">(U83/U$15)*50+50</f>
        <v>50</v>
      </c>
      <c r="W83" s="46" t="n">
        <f aca="false">V83*0.2</f>
        <v>10</v>
      </c>
      <c r="X83" s="45"/>
      <c r="Y83" s="46" t="n">
        <f aca="false">(X83/X$15)*50+50</f>
        <v>50</v>
      </c>
      <c r="Z83" s="46" t="n">
        <f aca="false">Y83*0.5</f>
        <v>25</v>
      </c>
      <c r="AA83" s="47" t="n">
        <f aca="false">SUM(Z83,W83,O83)</f>
        <v>50</v>
      </c>
      <c r="AB83" s="52"/>
    </row>
    <row r="84" customFormat="false" ht="15" hidden="false" customHeight="false" outlineLevel="0" collapsed="false">
      <c r="A84" s="43" t="n">
        <f aca="false">'Input Data'!B88</f>
        <v>0</v>
      </c>
      <c r="B84" s="44" t="n">
        <f aca="false">'Input Data'!C88</f>
        <v>0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6" t="n">
        <f aca="false">SUMIF(C84:L84,"&lt;&gt;",C84:L84)</f>
        <v>0</v>
      </c>
      <c r="N84" s="46" t="n">
        <f aca="false">(M84/M$15)*50+50</f>
        <v>50</v>
      </c>
      <c r="O84" s="48" t="n">
        <f aca="false">N84*0.3</f>
        <v>15</v>
      </c>
      <c r="P84" s="45"/>
      <c r="Q84" s="45"/>
      <c r="R84" s="45"/>
      <c r="S84" s="45"/>
      <c r="T84" s="45"/>
      <c r="U84" s="46" t="n">
        <f aca="false">SUMIF(P84:T84,"&lt;&gt;",P84:T84)</f>
        <v>0</v>
      </c>
      <c r="V84" s="46" t="n">
        <f aca="false">(U84/U$15)*50+50</f>
        <v>50</v>
      </c>
      <c r="W84" s="46" t="n">
        <f aca="false">V84*0.2</f>
        <v>10</v>
      </c>
      <c r="X84" s="45"/>
      <c r="Y84" s="46" t="n">
        <f aca="false">(X84/X$15)*50+50</f>
        <v>50</v>
      </c>
      <c r="Z84" s="46" t="n">
        <f aca="false">Y84*0.5</f>
        <v>25</v>
      </c>
      <c r="AA84" s="47" t="n">
        <f aca="false">SUM(Z84,W84,O84)</f>
        <v>50</v>
      </c>
      <c r="AB84" s="52"/>
    </row>
    <row r="85" customFormat="false" ht="15" hidden="false" customHeight="false" outlineLevel="0" collapsed="false">
      <c r="A85" s="43" t="n">
        <f aca="false">'Input Data'!B89</f>
        <v>0</v>
      </c>
      <c r="B85" s="44" t="n">
        <f aca="false">'Input Data'!C89</f>
        <v>0</v>
      </c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6" t="n">
        <f aca="false">SUMIF(C85:L85,"&lt;&gt;",C85:L85)</f>
        <v>0</v>
      </c>
      <c r="N85" s="46" t="n">
        <f aca="false">(M85/M$15)*50+50</f>
        <v>50</v>
      </c>
      <c r="O85" s="48" t="n">
        <f aca="false">N85*0.3</f>
        <v>15</v>
      </c>
      <c r="P85" s="45"/>
      <c r="Q85" s="45"/>
      <c r="R85" s="45"/>
      <c r="S85" s="45"/>
      <c r="T85" s="45"/>
      <c r="U85" s="46" t="n">
        <f aca="false">SUMIF(P85:T85,"&lt;&gt;",P85:T85)</f>
        <v>0</v>
      </c>
      <c r="V85" s="46" t="n">
        <f aca="false">(U85/U$15)*50+50</f>
        <v>50</v>
      </c>
      <c r="W85" s="46" t="n">
        <f aca="false">V85*0.2</f>
        <v>10</v>
      </c>
      <c r="X85" s="45"/>
      <c r="Y85" s="46" t="n">
        <f aca="false">(X85/X$15)*50+50</f>
        <v>50</v>
      </c>
      <c r="Z85" s="46" t="n">
        <f aca="false">Y85*0.5</f>
        <v>25</v>
      </c>
      <c r="AA85" s="47" t="n">
        <f aca="false">SUM(Z85,W85,O85)</f>
        <v>50</v>
      </c>
      <c r="AB85" s="52"/>
    </row>
    <row r="86" customFormat="false" ht="15" hidden="false" customHeight="false" outlineLevel="0" collapsed="false">
      <c r="A86" s="43" t="n">
        <f aca="false">'Input Data'!B90</f>
        <v>0</v>
      </c>
      <c r="B86" s="44" t="n">
        <f aca="false">'Input Data'!C90</f>
        <v>0</v>
      </c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6" t="n">
        <f aca="false">SUMIF(C86:L86,"&lt;&gt;",C86:L86)</f>
        <v>0</v>
      </c>
      <c r="N86" s="46" t="n">
        <f aca="false">(M86/M$15)*50+50</f>
        <v>50</v>
      </c>
      <c r="O86" s="48" t="n">
        <f aca="false">N86*0.3</f>
        <v>15</v>
      </c>
      <c r="P86" s="45"/>
      <c r="Q86" s="45"/>
      <c r="R86" s="45"/>
      <c r="S86" s="45"/>
      <c r="T86" s="45"/>
      <c r="U86" s="46" t="n">
        <f aca="false">SUMIF(P86:T86,"&lt;&gt;",P86:T86)</f>
        <v>0</v>
      </c>
      <c r="V86" s="46" t="n">
        <f aca="false">(U86/U$15)*50+50</f>
        <v>50</v>
      </c>
      <c r="W86" s="46" t="n">
        <f aca="false">V86*0.2</f>
        <v>10</v>
      </c>
      <c r="X86" s="45"/>
      <c r="Y86" s="46" t="n">
        <f aca="false">(X86/X$15)*50+50</f>
        <v>50</v>
      </c>
      <c r="Z86" s="46" t="n">
        <f aca="false">Y86*0.5</f>
        <v>25</v>
      </c>
      <c r="AA86" s="47" t="n">
        <f aca="false">SUM(Z86,W86,O86)</f>
        <v>50</v>
      </c>
      <c r="AB86" s="52"/>
    </row>
  </sheetData>
  <sheetProtection sheet="true" formatColumns="false" formatRows="false"/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86">
    <cfRule type="cellIs" priority="2" operator="lessThan" aboveAverage="0" equalAverage="0" bottom="0" percent="0" rank="0" text="" dxfId="11">
      <formula>74.5</formula>
    </cfRule>
  </conditionalFormatting>
  <conditionalFormatting sqref="A16:AA86">
    <cfRule type="expression" priority="3" aboveAverage="0" equalAverage="0" bottom="0" percent="0" rank="0" text="" dxfId="12">
      <formula>ROW()=CELL("ROW")</formula>
    </cfRule>
  </conditionalFormatting>
  <dataValidations count="16">
    <dataValidation allowBlank="true" errorStyle="stop" operator="between" showDropDown="false" showErrorMessage="true" showInputMessage="true" sqref="X16:X86" type="whole">
      <formula1>0</formula1>
      <formula2>$X$15</formula2>
    </dataValidation>
    <dataValidation allowBlank="true" errorStyle="stop" operator="between" showDropDown="false" showErrorMessage="true" showInputMessage="true" sqref="C16:C86" type="whole">
      <formula1>0</formula1>
      <formula2>$C$15</formula2>
    </dataValidation>
    <dataValidation allowBlank="true" errorStyle="stop" operator="between" showDropDown="false" showErrorMessage="true" showInputMessage="true" sqref="D16:D86" type="whole">
      <formula1>0</formula1>
      <formula2>$D$15</formula2>
    </dataValidation>
    <dataValidation allowBlank="true" errorStyle="stop" operator="between" showDropDown="false" showErrorMessage="true" showInputMessage="true" sqref="J16:J86" type="whole">
      <formula1>0</formula1>
      <formula2>$J$15</formula2>
    </dataValidation>
    <dataValidation allowBlank="true" errorStyle="stop" operator="between" showDropDown="false" showErrorMessage="true" showInputMessage="true" sqref="K16:K86" type="whole">
      <formula1>0</formula1>
      <formula2>$K$15</formula2>
    </dataValidation>
    <dataValidation allowBlank="true" errorStyle="stop" operator="between" showDropDown="false" showErrorMessage="true" showInputMessage="true" sqref="L16:L86" type="whole">
      <formula1>0</formula1>
      <formula2>$L$15</formula2>
    </dataValidation>
    <dataValidation allowBlank="true" errorStyle="stop" operator="between" showDropDown="false" showErrorMessage="true" showInputMessage="true" sqref="P16:P86" type="whole">
      <formula1>0</formula1>
      <formula2>$P$15</formula2>
    </dataValidation>
    <dataValidation allowBlank="true" errorStyle="stop" operator="between" showDropDown="false" showErrorMessage="true" showInputMessage="true" sqref="S16:S86" type="whole">
      <formula1>0</formula1>
      <formula2>$S$15</formula2>
    </dataValidation>
    <dataValidation allowBlank="true" errorStyle="stop" operator="between" showDropDown="false" showErrorMessage="true" showInputMessage="true" sqref="T16:T86" type="whole">
      <formula1>0</formula1>
      <formula2>$T$15</formula2>
    </dataValidation>
    <dataValidation allowBlank="true" errorStyle="stop" operator="between" showDropDown="false" showErrorMessage="true" showInputMessage="true" sqref="E16:E86" type="whole">
      <formula1>0</formula1>
      <formula2>$E$15</formula2>
    </dataValidation>
    <dataValidation allowBlank="true" errorStyle="stop" operator="between" showDropDown="false" showErrorMessage="true" showInputMessage="true" sqref="F16:F86" type="whole">
      <formula1>0</formula1>
      <formula2>$F$15</formula2>
    </dataValidation>
    <dataValidation allowBlank="true" errorStyle="stop" operator="between" showDropDown="false" showErrorMessage="true" showInputMessage="true" sqref="G16:G86" type="whole">
      <formula1>0</formula1>
      <formula2>$G$15</formula2>
    </dataValidation>
    <dataValidation allowBlank="true" errorStyle="stop" operator="between" showDropDown="false" showErrorMessage="true" showInputMessage="true" sqref="H16:H86" type="whole">
      <formula1>0</formula1>
      <formula2>$H$15</formula2>
    </dataValidation>
    <dataValidation allowBlank="true" errorStyle="stop" operator="between" showDropDown="false" showErrorMessage="true" showInputMessage="true" sqref="I16:I86" type="whole">
      <formula1>0</formula1>
      <formula2>$I$15</formula2>
    </dataValidation>
    <dataValidation allowBlank="true" errorStyle="stop" operator="between" showDropDown="false" showErrorMessage="true" showInputMessage="true" sqref="Q16:Q86" type="whole">
      <formula1>0</formula1>
      <formula2>$Q$15</formula2>
    </dataValidation>
    <dataValidation allowBlank="true" errorStyle="stop" operator="between" showDropDown="false" showErrorMessage="true" showInputMessage="true" sqref="R16:R86" type="whole">
      <formula1>0</formula1>
      <formula2>$R$15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V82"/>
  <sheetViews>
    <sheetView showFormulas="false" showGridLines="false" showRowColHeaders="true" showZeros="false" rightToLeft="false" tabSelected="true" showOutlineSymbols="true" defaultGridColor="true" view="normal" topLeftCell="A13" colorId="64" zoomScale="75" zoomScaleNormal="75" zoomScalePageLayoutView="100" workbookViewId="0">
      <selection pane="topLeft" activeCell="V16" activeCellId="0" sqref="V16"/>
    </sheetView>
  </sheetViews>
  <sheetFormatPr defaultColWidth="8.542968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26.43"/>
    <col collapsed="false" customWidth="true" hidden="false" outlineLevel="0" max="3" min="3" style="1" width="19.14"/>
    <col collapsed="false" customWidth="true" hidden="false" outlineLevel="0" max="4" min="4" style="1" width="14.29"/>
    <col collapsed="false" customWidth="true" hidden="false" outlineLevel="0" max="10" min="5" style="1" width="2.28"/>
    <col collapsed="false" customWidth="true" hidden="false" outlineLevel="0" max="11" min="11" style="1" width="1.29"/>
    <col collapsed="false" customWidth="true" hidden="false" outlineLevel="0" max="12" min="12" style="1" width="2"/>
    <col collapsed="false" customWidth="true" hidden="false" outlineLevel="0" max="13" min="13" style="1" width="3.86"/>
    <col collapsed="false" customWidth="true" hidden="false" outlineLevel="0" max="14" min="14" style="1" width="1.57"/>
    <col collapsed="false" customWidth="true" hidden="false" outlineLevel="0" max="15" min="15" style="1" width="1.71"/>
    <col collapsed="false" customWidth="true" hidden="false" outlineLevel="0" max="16" min="16" style="1" width="5.14"/>
    <col collapsed="false" customWidth="true" hidden="false" outlineLevel="0" max="17" min="17" style="1" width="2.16"/>
    <col collapsed="false" customWidth="true" hidden="false" outlineLevel="0" max="18" min="18" style="1" width="3"/>
    <col collapsed="false" customWidth="true" hidden="false" outlineLevel="0" max="19" min="19" style="1" width="6.71"/>
    <col collapsed="false" customWidth="true" hidden="false" outlineLevel="0" max="20" min="20" style="1" width="4.57"/>
    <col collapsed="false" customWidth="true" hidden="false" outlineLevel="0" max="21" min="21" style="1" width="6.14"/>
    <col collapsed="false" customWidth="true" hidden="false" outlineLevel="0" max="22" min="22" style="1" width="11.72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</row>
    <row r="5" customFormat="false" ht="29.15" hidden="false" customHeight="false" outlineLevel="0" collapsed="false">
      <c r="A5" s="20" t="s">
        <v>95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53"/>
      <c r="K7" s="53"/>
      <c r="L7" s="53"/>
      <c r="M7" s="53"/>
      <c r="P7" s="23" t="s">
        <v>10</v>
      </c>
      <c r="Q7" s="23"/>
      <c r="R7" s="23"/>
      <c r="S7" s="22" t="n">
        <f aca="false">'Input Data'!D13</f>
        <v>0</v>
      </c>
      <c r="T7" s="22"/>
      <c r="U7" s="22"/>
    </row>
    <row r="8" customFormat="false" ht="7.5" hidden="false" customHeight="true" outlineLevel="0" collapsed="false">
      <c r="A8" s="24"/>
      <c r="B8" s="24"/>
      <c r="C8" s="24"/>
      <c r="D8" s="24"/>
      <c r="E8" s="25"/>
      <c r="F8" s="25"/>
      <c r="G8" s="25"/>
      <c r="H8" s="25"/>
      <c r="I8" s="25"/>
      <c r="J8" s="25"/>
      <c r="K8" s="25"/>
      <c r="L8" s="25"/>
      <c r="M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53"/>
      <c r="K9" s="53"/>
      <c r="L9" s="53"/>
      <c r="M9" s="53"/>
      <c r="P9" s="23" t="s">
        <v>11</v>
      </c>
      <c r="Q9" s="23"/>
      <c r="R9" s="23"/>
      <c r="S9" s="22" t="n">
        <f aca="false">'Input Data'!D15</f>
        <v>0</v>
      </c>
      <c r="T9" s="22"/>
      <c r="U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ITE 104 – Web System and Application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54"/>
      <c r="P11" s="54"/>
      <c r="Q11" s="54"/>
    </row>
    <row r="13" customFormat="false" ht="19.5" hidden="false" customHeight="true" outlineLevel="0" collapsed="false">
      <c r="A13" s="55" t="s">
        <v>14</v>
      </c>
      <c r="B13" s="55" t="s">
        <v>15</v>
      </c>
      <c r="C13" s="55"/>
      <c r="D13" s="55" t="s">
        <v>16</v>
      </c>
      <c r="E13" s="55" t="s">
        <v>96</v>
      </c>
      <c r="F13" s="55"/>
      <c r="G13" s="55"/>
      <c r="H13" s="55"/>
      <c r="I13" s="55"/>
      <c r="J13" s="55"/>
      <c r="K13" s="55"/>
      <c r="L13" s="55"/>
      <c r="M13" s="55" t="s">
        <v>97</v>
      </c>
      <c r="N13" s="55"/>
      <c r="O13" s="55"/>
      <c r="P13" s="55"/>
      <c r="Q13" s="55"/>
      <c r="R13" s="55"/>
      <c r="S13" s="55" t="s">
        <v>98</v>
      </c>
      <c r="T13" s="55"/>
      <c r="U13" s="55"/>
      <c r="V13" s="55" t="s">
        <v>99</v>
      </c>
    </row>
    <row r="14" customFormat="false" ht="15" hidden="false" customHeight="true" outlineLevel="0" collapsed="false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</row>
    <row r="15" customFormat="false" ht="8.25" hidden="false" customHeight="true" outlineLevel="0" collapsed="false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</row>
    <row r="16" customFormat="false" ht="15" hidden="false" customHeight="false" outlineLevel="0" collapsed="false">
      <c r="A16" s="43" t="n">
        <f aca="false">'Input Data'!B20</f>
        <v>1</v>
      </c>
      <c r="B16" s="56" t="str">
        <f aca="false">'Input Data'!C20</f>
        <v>EGCA, JOHN CRIS GAYARES</v>
      </c>
      <c r="C16" s="56"/>
      <c r="D16" s="57" t="n">
        <f aca="false">'Input Data'!G20</f>
        <v>0</v>
      </c>
      <c r="E16" s="58" t="n">
        <f aca="false">ROUND(PRELIM!AA16,0)</f>
        <v>66</v>
      </c>
      <c r="F16" s="58"/>
      <c r="G16" s="58"/>
      <c r="H16" s="58"/>
      <c r="I16" s="58"/>
      <c r="J16" s="58"/>
      <c r="K16" s="58"/>
      <c r="L16" s="58"/>
      <c r="M16" s="58" t="n">
        <f aca="false">ROUND(MIDTERM!AA16,0)</f>
        <v>85</v>
      </c>
      <c r="N16" s="58"/>
      <c r="O16" s="58"/>
      <c r="P16" s="58"/>
      <c r="Q16" s="58"/>
      <c r="R16" s="58"/>
      <c r="S16" s="58" t="n">
        <f aca="false">ROUND(ENDTERM!AA16,0)</f>
        <v>83</v>
      </c>
      <c r="T16" s="58"/>
      <c r="U16" s="58"/>
      <c r="V16" s="59" t="n">
        <f aca="false">(E16*0.3)+(M16*0.3)+(S16*0.4)</f>
        <v>78.5</v>
      </c>
    </row>
    <row r="17" customFormat="false" ht="15" hidden="false" customHeight="false" outlineLevel="0" collapsed="false">
      <c r="A17" s="43" t="n">
        <f aca="false">'Input Data'!B21</f>
        <v>2</v>
      </c>
      <c r="B17" s="56" t="str">
        <f aca="false">'Input Data'!C21</f>
        <v>ESCABARTE, MARK GIL PEDRAJAS</v>
      </c>
      <c r="C17" s="56"/>
      <c r="D17" s="60" t="n">
        <f aca="false">'Input Data'!G21</f>
        <v>0</v>
      </c>
      <c r="E17" s="61" t="n">
        <f aca="false">ROUND(PRELIM!AA17,0)</f>
        <v>69</v>
      </c>
      <c r="F17" s="61"/>
      <c r="G17" s="61"/>
      <c r="H17" s="61"/>
      <c r="I17" s="61"/>
      <c r="J17" s="61"/>
      <c r="K17" s="61"/>
      <c r="L17" s="61"/>
      <c r="M17" s="61" t="n">
        <f aca="false">ROUND(MIDTERM!AA17,0)</f>
        <v>50</v>
      </c>
      <c r="N17" s="61"/>
      <c r="O17" s="61"/>
      <c r="P17" s="61"/>
      <c r="Q17" s="61"/>
      <c r="R17" s="61"/>
      <c r="S17" s="61" t="n">
        <f aca="false">ROUND(ENDTERM!AA17,0)</f>
        <v>85</v>
      </c>
      <c r="T17" s="61"/>
      <c r="U17" s="61"/>
      <c r="V17" s="62" t="n">
        <f aca="false">(E17*0.3)+(M17*0.3)+(S17*0.4)</f>
        <v>69.7</v>
      </c>
    </row>
    <row r="18" customFormat="false" ht="15" hidden="false" customHeight="false" outlineLevel="0" collapsed="false">
      <c r="A18" s="43" t="n">
        <f aca="false">'Input Data'!B22</f>
        <v>3</v>
      </c>
      <c r="B18" s="56" t="str">
        <f aca="false">'Input Data'!C22</f>
        <v>ESCALANTE, BRYAN JAY SUBARDIAGA</v>
      </c>
      <c r="C18" s="56"/>
      <c r="D18" s="60" t="n">
        <f aca="false">'Input Data'!G22</f>
        <v>0</v>
      </c>
      <c r="E18" s="61" t="n">
        <f aca="false">ROUND(PRELIM!AA18,0)</f>
        <v>67</v>
      </c>
      <c r="F18" s="61"/>
      <c r="G18" s="61"/>
      <c r="H18" s="61"/>
      <c r="I18" s="61"/>
      <c r="J18" s="61"/>
      <c r="K18" s="61"/>
      <c r="L18" s="61"/>
      <c r="M18" s="61" t="n">
        <f aca="false">ROUND(MIDTERM!AA18,0)</f>
        <v>85</v>
      </c>
      <c r="N18" s="61"/>
      <c r="O18" s="61"/>
      <c r="P18" s="61"/>
      <c r="Q18" s="61"/>
      <c r="R18" s="61"/>
      <c r="S18" s="61" t="n">
        <f aca="false">ROUND(ENDTERM!AA18,0)</f>
        <v>83</v>
      </c>
      <c r="T18" s="61"/>
      <c r="U18" s="61"/>
      <c r="V18" s="62" t="n">
        <f aca="false">(E18*0.3)+(M18*0.3)+(S18*0.4)</f>
        <v>78.8</v>
      </c>
    </row>
    <row r="19" customFormat="false" ht="15" hidden="false" customHeight="false" outlineLevel="0" collapsed="false">
      <c r="A19" s="43" t="n">
        <f aca="false">'Input Data'!B23</f>
        <v>4</v>
      </c>
      <c r="B19" s="56" t="str">
        <f aca="false">'Input Data'!C23</f>
        <v>ESTOYA, JILWIN JOSEPH LHIAN  PEÑFLORIDA</v>
      </c>
      <c r="C19" s="56"/>
      <c r="D19" s="60" t="n">
        <f aca="false">'Input Data'!G23</f>
        <v>0</v>
      </c>
      <c r="E19" s="61" t="n">
        <f aca="false">ROUND(PRELIM!AA19,0)</f>
        <v>70</v>
      </c>
      <c r="F19" s="61"/>
      <c r="G19" s="61"/>
      <c r="H19" s="61"/>
      <c r="I19" s="61"/>
      <c r="J19" s="61"/>
      <c r="K19" s="61"/>
      <c r="L19" s="61"/>
      <c r="M19" s="61" t="n">
        <f aca="false">ROUND(MIDTERM!AA19,0)</f>
        <v>85</v>
      </c>
      <c r="N19" s="61"/>
      <c r="O19" s="61"/>
      <c r="P19" s="61"/>
      <c r="Q19" s="61"/>
      <c r="R19" s="61"/>
      <c r="S19" s="61" t="n">
        <f aca="false">ROUND(ENDTERM!AA19,0)</f>
        <v>83</v>
      </c>
      <c r="T19" s="61"/>
      <c r="U19" s="61"/>
      <c r="V19" s="62" t="n">
        <f aca="false">(E19*0.3)+(M19*0.3)+(S19*0.4)</f>
        <v>79.7</v>
      </c>
    </row>
    <row r="20" customFormat="false" ht="15" hidden="false" customHeight="false" outlineLevel="0" collapsed="false">
      <c r="A20" s="43" t="n">
        <f aca="false">'Input Data'!B24</f>
        <v>5</v>
      </c>
      <c r="B20" s="56" t="str">
        <f aca="false">'Input Data'!C24</f>
        <v>FAMOSO, ALTHEA ENRIQUEZ</v>
      </c>
      <c r="C20" s="56"/>
      <c r="D20" s="60" t="n">
        <f aca="false">'Input Data'!G24</f>
        <v>0</v>
      </c>
      <c r="E20" s="61" t="n">
        <f aca="false">ROUND(PRELIM!AA20,0)</f>
        <v>77</v>
      </c>
      <c r="F20" s="61"/>
      <c r="G20" s="61"/>
      <c r="H20" s="61"/>
      <c r="I20" s="61"/>
      <c r="J20" s="61"/>
      <c r="K20" s="61"/>
      <c r="L20" s="61"/>
      <c r="M20" s="61" t="n">
        <f aca="false">ROUND(MIDTERM!AA20,0)</f>
        <v>85</v>
      </c>
      <c r="N20" s="61"/>
      <c r="O20" s="61"/>
      <c r="P20" s="61"/>
      <c r="Q20" s="61"/>
      <c r="R20" s="61"/>
      <c r="S20" s="61" t="n">
        <f aca="false">ROUND(ENDTERM!AA20,0)</f>
        <v>96</v>
      </c>
      <c r="T20" s="61"/>
      <c r="U20" s="61"/>
      <c r="V20" s="62" t="n">
        <f aca="false">(E20*0.3)+(M20*0.3)+(S20*0.4)</f>
        <v>87</v>
      </c>
    </row>
    <row r="21" customFormat="false" ht="15" hidden="false" customHeight="false" outlineLevel="0" collapsed="false">
      <c r="A21" s="43" t="n">
        <f aca="false">'Input Data'!B25</f>
        <v>6</v>
      </c>
      <c r="B21" s="56" t="str">
        <f aca="false">'Input Data'!C25</f>
        <v>FAMOSO, CARL TIA</v>
      </c>
      <c r="C21" s="56"/>
      <c r="D21" s="60" t="n">
        <f aca="false">'Input Data'!G25</f>
        <v>0</v>
      </c>
      <c r="E21" s="61" t="n">
        <f aca="false">ROUND(PRELIM!AA21,0)</f>
        <v>76</v>
      </c>
      <c r="F21" s="61"/>
      <c r="G21" s="61"/>
      <c r="H21" s="61"/>
      <c r="I21" s="61"/>
      <c r="J21" s="61"/>
      <c r="K21" s="61"/>
      <c r="L21" s="61"/>
      <c r="M21" s="61" t="n">
        <f aca="false">ROUND(MIDTERM!AA21,0)</f>
        <v>90</v>
      </c>
      <c r="N21" s="61"/>
      <c r="O21" s="61"/>
      <c r="P21" s="61"/>
      <c r="Q21" s="61"/>
      <c r="R21" s="61"/>
      <c r="S21" s="61" t="n">
        <f aca="false">ROUND(ENDTERM!AA21,0)</f>
        <v>86</v>
      </c>
      <c r="T21" s="61"/>
      <c r="U21" s="61"/>
      <c r="V21" s="62" t="n">
        <f aca="false">(E21*0.3)+(M21*0.3)+(S21*0.4)</f>
        <v>84.2</v>
      </c>
    </row>
    <row r="22" customFormat="false" ht="15" hidden="false" customHeight="false" outlineLevel="0" collapsed="false">
      <c r="A22" s="43" t="n">
        <f aca="false">'Input Data'!B26</f>
        <v>7</v>
      </c>
      <c r="B22" s="56" t="str">
        <f aca="false">'Input Data'!C26</f>
        <v>FAT, NERISA SALGADO</v>
      </c>
      <c r="C22" s="56"/>
      <c r="D22" s="60" t="n">
        <f aca="false">'Input Data'!G26</f>
        <v>0</v>
      </c>
      <c r="E22" s="61" t="n">
        <f aca="false">ROUND(PRELIM!AA22,0)</f>
        <v>70</v>
      </c>
      <c r="F22" s="61"/>
      <c r="G22" s="61"/>
      <c r="H22" s="61"/>
      <c r="I22" s="61"/>
      <c r="J22" s="61"/>
      <c r="K22" s="61"/>
      <c r="L22" s="61"/>
      <c r="M22" s="61" t="n">
        <f aca="false">ROUND(MIDTERM!AA22,0)</f>
        <v>90</v>
      </c>
      <c r="N22" s="61"/>
      <c r="O22" s="61"/>
      <c r="P22" s="61"/>
      <c r="Q22" s="61"/>
      <c r="R22" s="61"/>
      <c r="S22" s="61" t="n">
        <f aca="false">ROUND(ENDTERM!AA22,0)</f>
        <v>80</v>
      </c>
      <c r="T22" s="61"/>
      <c r="U22" s="61"/>
      <c r="V22" s="62" t="n">
        <f aca="false">(E22*0.3)+(M22*0.3)+(S22*0.4)</f>
        <v>80</v>
      </c>
    </row>
    <row r="23" customFormat="false" ht="15" hidden="false" customHeight="false" outlineLevel="0" collapsed="false">
      <c r="A23" s="43" t="n">
        <f aca="false">'Input Data'!B27</f>
        <v>8</v>
      </c>
      <c r="B23" s="56" t="str">
        <f aca="false">'Input Data'!C27</f>
        <v>FERNANDEZ, CHRISTOPHER LIMOTAO</v>
      </c>
      <c r="C23" s="56"/>
      <c r="D23" s="60" t="n">
        <f aca="false">'Input Data'!G27</f>
        <v>0</v>
      </c>
      <c r="E23" s="61" t="n">
        <f aca="false">ROUND(PRELIM!AA23,0)</f>
        <v>69</v>
      </c>
      <c r="F23" s="61"/>
      <c r="G23" s="61"/>
      <c r="H23" s="61"/>
      <c r="I23" s="61"/>
      <c r="J23" s="61"/>
      <c r="K23" s="61"/>
      <c r="L23" s="61"/>
      <c r="M23" s="61" t="n">
        <f aca="false">ROUND(MIDTERM!AA23,0)</f>
        <v>50</v>
      </c>
      <c r="N23" s="61"/>
      <c r="O23" s="61"/>
      <c r="P23" s="61"/>
      <c r="Q23" s="61"/>
      <c r="R23" s="61"/>
      <c r="S23" s="61" t="n">
        <f aca="false">ROUND(ENDTERM!AA23,0)</f>
        <v>50</v>
      </c>
      <c r="T23" s="61"/>
      <c r="U23" s="61"/>
      <c r="V23" s="62" t="n">
        <f aca="false">(E23*0.3)+(M23*0.3)+(S23*0.4)</f>
        <v>55.7</v>
      </c>
    </row>
    <row r="24" customFormat="false" ht="15" hidden="false" customHeight="false" outlineLevel="0" collapsed="false">
      <c r="A24" s="43" t="n">
        <f aca="false">'Input Data'!B28</f>
        <v>9</v>
      </c>
      <c r="B24" s="56" t="str">
        <f aca="false">'Input Data'!C28</f>
        <v>FERNANDEZ, PENNY LANE TALANQUINES</v>
      </c>
      <c r="C24" s="56"/>
      <c r="D24" s="60" t="n">
        <f aca="false">'Input Data'!G28</f>
        <v>0</v>
      </c>
      <c r="E24" s="61" t="n">
        <f aca="false">ROUND(PRELIM!AA24,0)</f>
        <v>72</v>
      </c>
      <c r="F24" s="61"/>
      <c r="G24" s="61"/>
      <c r="H24" s="61"/>
      <c r="I24" s="61"/>
      <c r="J24" s="61"/>
      <c r="K24" s="61"/>
      <c r="L24" s="61"/>
      <c r="M24" s="61" t="n">
        <f aca="false">ROUND(MIDTERM!AA24,0)</f>
        <v>90</v>
      </c>
      <c r="N24" s="61"/>
      <c r="O24" s="61"/>
      <c r="P24" s="61"/>
      <c r="Q24" s="61"/>
      <c r="R24" s="61"/>
      <c r="S24" s="61" t="n">
        <f aca="false">ROUND(ENDTERM!AA24,0)</f>
        <v>80</v>
      </c>
      <c r="T24" s="61"/>
      <c r="U24" s="61"/>
      <c r="V24" s="62" t="n">
        <f aca="false">(E24*0.3)+(M24*0.3)+(S24*0.4)</f>
        <v>80.6</v>
      </c>
    </row>
    <row r="25" customFormat="false" ht="15" hidden="false" customHeight="false" outlineLevel="0" collapsed="false">
      <c r="A25" s="43" t="n">
        <f aca="false">'Input Data'!B29</f>
        <v>10</v>
      </c>
      <c r="B25" s="56" t="str">
        <f aca="false">'Input Data'!C29</f>
        <v>FERNANDEZ, WENDELYN VALDEVIEZO</v>
      </c>
      <c r="C25" s="56"/>
      <c r="D25" s="60" t="n">
        <f aca="false">'Input Data'!G29</f>
        <v>0</v>
      </c>
      <c r="E25" s="61" t="n">
        <f aca="false">ROUND(PRELIM!AA25,0)</f>
        <v>70</v>
      </c>
      <c r="F25" s="61"/>
      <c r="G25" s="61"/>
      <c r="H25" s="61"/>
      <c r="I25" s="61"/>
      <c r="J25" s="61"/>
      <c r="K25" s="61"/>
      <c r="L25" s="61"/>
      <c r="M25" s="61" t="n">
        <f aca="false">ROUND(MIDTERM!AA25,0)</f>
        <v>50</v>
      </c>
      <c r="N25" s="61"/>
      <c r="O25" s="61"/>
      <c r="P25" s="61"/>
      <c r="Q25" s="61"/>
      <c r="R25" s="61"/>
      <c r="S25" s="61" t="n">
        <f aca="false">ROUND(ENDTERM!AA25,0)</f>
        <v>50</v>
      </c>
      <c r="T25" s="61"/>
      <c r="U25" s="61"/>
      <c r="V25" s="62" t="n">
        <f aca="false">(E25*0.3)+(M25*0.3)+(S25*0.4)</f>
        <v>56</v>
      </c>
    </row>
    <row r="26" customFormat="false" ht="15" hidden="false" customHeight="false" outlineLevel="0" collapsed="false">
      <c r="A26" s="43" t="n">
        <f aca="false">'Input Data'!B30</f>
        <v>11</v>
      </c>
      <c r="B26" s="56" t="str">
        <f aca="false">'Input Data'!C30</f>
        <v>FLORES, YL JOHN MAHINAY</v>
      </c>
      <c r="C26" s="56"/>
      <c r="D26" s="60" t="n">
        <f aca="false">'Input Data'!G30</f>
        <v>0</v>
      </c>
      <c r="E26" s="61" t="n">
        <f aca="false">ROUND(PRELIM!AA26,0)</f>
        <v>83</v>
      </c>
      <c r="F26" s="61"/>
      <c r="G26" s="61"/>
      <c r="H26" s="61"/>
      <c r="I26" s="61"/>
      <c r="J26" s="61"/>
      <c r="K26" s="61"/>
      <c r="L26" s="61"/>
      <c r="M26" s="61" t="n">
        <f aca="false">ROUND(MIDTERM!AA26,0)</f>
        <v>90</v>
      </c>
      <c r="N26" s="61"/>
      <c r="O26" s="61"/>
      <c r="P26" s="61"/>
      <c r="Q26" s="61"/>
      <c r="R26" s="61"/>
      <c r="S26" s="61" t="n">
        <f aca="false">ROUND(ENDTERM!AA26,0)</f>
        <v>86</v>
      </c>
      <c r="T26" s="61"/>
      <c r="U26" s="61"/>
      <c r="V26" s="62" t="n">
        <f aca="false">(E26*0.3)+(M26*0.3)+(S26*0.4)</f>
        <v>86.3</v>
      </c>
    </row>
    <row r="27" customFormat="false" ht="15" hidden="false" customHeight="false" outlineLevel="0" collapsed="false">
      <c r="A27" s="43" t="n">
        <f aca="false">'Input Data'!B31</f>
        <v>12</v>
      </c>
      <c r="B27" s="56" t="str">
        <f aca="false">'Input Data'!C31</f>
        <v>GAJO, JAYVEN KIM AMPARO</v>
      </c>
      <c r="C27" s="56"/>
      <c r="D27" s="60" t="n">
        <f aca="false">'Input Data'!G31</f>
        <v>0</v>
      </c>
      <c r="E27" s="61" t="n">
        <f aca="false">ROUND(PRELIM!AA27,0)</f>
        <v>75</v>
      </c>
      <c r="F27" s="61"/>
      <c r="G27" s="61"/>
      <c r="H27" s="61"/>
      <c r="I27" s="61"/>
      <c r="J27" s="61"/>
      <c r="K27" s="61"/>
      <c r="L27" s="61"/>
      <c r="M27" s="61" t="n">
        <f aca="false">ROUND(MIDTERM!AA27,0)</f>
        <v>85</v>
      </c>
      <c r="N27" s="61"/>
      <c r="O27" s="61"/>
      <c r="P27" s="61"/>
      <c r="Q27" s="61"/>
      <c r="R27" s="61"/>
      <c r="S27" s="61" t="n">
        <f aca="false">ROUND(ENDTERM!AA27,0)</f>
        <v>96</v>
      </c>
      <c r="T27" s="61"/>
      <c r="U27" s="61"/>
      <c r="V27" s="62" t="n">
        <f aca="false">(E27*0.3)+(M27*0.3)+(S27*0.4)</f>
        <v>86.4</v>
      </c>
    </row>
    <row r="28" customFormat="false" ht="15" hidden="false" customHeight="false" outlineLevel="0" collapsed="false">
      <c r="A28" s="43" t="n">
        <f aca="false">'Input Data'!B32</f>
        <v>13</v>
      </c>
      <c r="B28" s="56" t="str">
        <f aca="false">'Input Data'!C32</f>
        <v>GARANZO, LANCE GABRIEL CORDOVA</v>
      </c>
      <c r="C28" s="56"/>
      <c r="D28" s="60" t="n">
        <f aca="false">'Input Data'!G32</f>
        <v>0</v>
      </c>
      <c r="E28" s="61" t="n">
        <f aca="false">ROUND(PRELIM!AA28,0)</f>
        <v>68</v>
      </c>
      <c r="F28" s="61"/>
      <c r="G28" s="61"/>
      <c r="H28" s="61"/>
      <c r="I28" s="61"/>
      <c r="J28" s="61"/>
      <c r="K28" s="61"/>
      <c r="L28" s="61"/>
      <c r="M28" s="61" t="n">
        <f aca="false">ROUND(MIDTERM!AA28,0)</f>
        <v>50</v>
      </c>
      <c r="N28" s="61"/>
      <c r="O28" s="61"/>
      <c r="P28" s="61"/>
      <c r="Q28" s="61"/>
      <c r="R28" s="61"/>
      <c r="S28" s="61" t="n">
        <f aca="false">ROUND(ENDTERM!AA28,0)</f>
        <v>59</v>
      </c>
      <c r="T28" s="61"/>
      <c r="U28" s="61"/>
      <c r="V28" s="62" t="n">
        <f aca="false">(E28*0.3)+(M28*0.3)+(S28*0.4)</f>
        <v>59</v>
      </c>
    </row>
    <row r="29" customFormat="false" ht="15" hidden="false" customHeight="false" outlineLevel="0" collapsed="false">
      <c r="A29" s="43" t="n">
        <f aca="false">'Input Data'!B33</f>
        <v>14</v>
      </c>
      <c r="B29" s="56" t="str">
        <f aca="false">'Input Data'!C33</f>
        <v>GARGANTA, RICHARD ACABO</v>
      </c>
      <c r="C29" s="56"/>
      <c r="D29" s="60" t="n">
        <f aca="false">'Input Data'!G33</f>
        <v>0</v>
      </c>
      <c r="E29" s="61" t="n">
        <f aca="false">ROUND(PRELIM!AA29,0)</f>
        <v>62</v>
      </c>
      <c r="F29" s="61"/>
      <c r="G29" s="61"/>
      <c r="H29" s="61"/>
      <c r="I29" s="61"/>
      <c r="J29" s="61"/>
      <c r="K29" s="61"/>
      <c r="L29" s="61"/>
      <c r="M29" s="61" t="n">
        <f aca="false">ROUND(MIDTERM!AA29,0)</f>
        <v>90</v>
      </c>
      <c r="N29" s="61"/>
      <c r="O29" s="61"/>
      <c r="P29" s="61"/>
      <c r="Q29" s="61"/>
      <c r="R29" s="61"/>
      <c r="S29" s="61" t="n">
        <f aca="false">ROUND(ENDTERM!AA29,0)</f>
        <v>89</v>
      </c>
      <c r="T29" s="61"/>
      <c r="U29" s="61"/>
      <c r="V29" s="62" t="n">
        <f aca="false">(E29*0.3)+(M29*0.3)+(S29*0.4)</f>
        <v>81.2</v>
      </c>
    </row>
    <row r="30" customFormat="false" ht="15" hidden="false" customHeight="false" outlineLevel="0" collapsed="false">
      <c r="A30" s="43" t="n">
        <f aca="false">'Input Data'!B34</f>
        <v>15</v>
      </c>
      <c r="B30" s="56" t="str">
        <f aca="false">'Input Data'!C34</f>
        <v>GARIANDO, JUSTIN KIM CORREJADO</v>
      </c>
      <c r="C30" s="56"/>
      <c r="D30" s="60" t="n">
        <f aca="false">'Input Data'!G34</f>
        <v>0</v>
      </c>
      <c r="E30" s="61" t="n">
        <f aca="false">ROUND(PRELIM!AA30,0)</f>
        <v>72</v>
      </c>
      <c r="F30" s="61"/>
      <c r="G30" s="61"/>
      <c r="H30" s="61"/>
      <c r="I30" s="61"/>
      <c r="J30" s="61"/>
      <c r="K30" s="61"/>
      <c r="L30" s="61"/>
      <c r="M30" s="61" t="n">
        <f aca="false">ROUND(MIDTERM!AA30,0)</f>
        <v>88</v>
      </c>
      <c r="N30" s="61"/>
      <c r="O30" s="61"/>
      <c r="P30" s="61"/>
      <c r="Q30" s="61"/>
      <c r="R30" s="61"/>
      <c r="S30" s="61" t="n">
        <f aca="false">ROUND(ENDTERM!AA30,0)</f>
        <v>91</v>
      </c>
      <c r="T30" s="61"/>
      <c r="U30" s="61"/>
      <c r="V30" s="62" t="n">
        <f aca="false">(E30*0.3)+(M30*0.3)+(S30*0.4)</f>
        <v>84.4</v>
      </c>
    </row>
    <row r="31" customFormat="false" ht="15" hidden="false" customHeight="false" outlineLevel="0" collapsed="false">
      <c r="A31" s="43" t="n">
        <f aca="false">'Input Data'!B35</f>
        <v>16</v>
      </c>
      <c r="B31" s="56" t="str">
        <f aca="false">'Input Data'!C35</f>
        <v>GARSOLAO, IVY MARIE ALICAYA</v>
      </c>
      <c r="C31" s="56"/>
      <c r="D31" s="60" t="n">
        <f aca="false">'Input Data'!G35</f>
        <v>0</v>
      </c>
      <c r="E31" s="61" t="n">
        <f aca="false">ROUND(PRELIM!AA31,0)</f>
        <v>70</v>
      </c>
      <c r="F31" s="61"/>
      <c r="G31" s="61"/>
      <c r="H31" s="61"/>
      <c r="I31" s="61"/>
      <c r="J31" s="61"/>
      <c r="K31" s="61"/>
      <c r="L31" s="61"/>
      <c r="M31" s="61" t="n">
        <f aca="false">ROUND(MIDTERM!AA31,0)</f>
        <v>90</v>
      </c>
      <c r="N31" s="61"/>
      <c r="O31" s="61"/>
      <c r="P31" s="61"/>
      <c r="Q31" s="61"/>
      <c r="R31" s="61"/>
      <c r="S31" s="61" t="n">
        <f aca="false">ROUND(ENDTERM!AA31,0)</f>
        <v>80</v>
      </c>
      <c r="T31" s="61"/>
      <c r="U31" s="61"/>
      <c r="V31" s="62" t="n">
        <f aca="false">(E31*0.3)+(M31*0.3)+(S31*0.4)</f>
        <v>80</v>
      </c>
    </row>
    <row r="32" customFormat="false" ht="15" hidden="false" customHeight="false" outlineLevel="0" collapsed="false">
      <c r="A32" s="43" t="n">
        <f aca="false">'Input Data'!B36</f>
        <v>17</v>
      </c>
      <c r="B32" s="56" t="str">
        <f aca="false">'Input Data'!C36</f>
        <v>GASATAYA, RICO TALABAN</v>
      </c>
      <c r="C32" s="56"/>
      <c r="D32" s="60" t="n">
        <f aca="false">'Input Data'!G36</f>
        <v>0</v>
      </c>
      <c r="E32" s="61" t="n">
        <f aca="false">ROUND(PRELIM!AA32,0)</f>
        <v>73</v>
      </c>
      <c r="F32" s="61"/>
      <c r="G32" s="61"/>
      <c r="H32" s="61"/>
      <c r="I32" s="61"/>
      <c r="J32" s="61"/>
      <c r="K32" s="61"/>
      <c r="L32" s="61"/>
      <c r="M32" s="61" t="n">
        <f aca="false">ROUND(MIDTERM!AA32,0)</f>
        <v>90</v>
      </c>
      <c r="N32" s="61"/>
      <c r="O32" s="61"/>
      <c r="P32" s="61"/>
      <c r="Q32" s="61"/>
      <c r="R32" s="61"/>
      <c r="S32" s="61" t="n">
        <f aca="false">ROUND(ENDTERM!AA32,0)</f>
        <v>80</v>
      </c>
      <c r="T32" s="61"/>
      <c r="U32" s="61"/>
      <c r="V32" s="62" t="n">
        <f aca="false">(E32*0.3)+(M32*0.3)+(S32*0.4)</f>
        <v>80.9</v>
      </c>
    </row>
    <row r="33" customFormat="false" ht="15" hidden="false" customHeight="false" outlineLevel="0" collapsed="false">
      <c r="A33" s="43" t="n">
        <f aca="false">'Input Data'!B37</f>
        <v>18</v>
      </c>
      <c r="B33" s="56" t="str">
        <f aca="false">'Input Data'!C37</f>
        <v>GELBA, ABEGAIL VENUS</v>
      </c>
      <c r="C33" s="56"/>
      <c r="D33" s="60" t="n">
        <f aca="false">'Input Data'!G37</f>
        <v>0</v>
      </c>
      <c r="E33" s="61" t="n">
        <f aca="false">ROUND(PRELIM!AA33,0)</f>
        <v>73</v>
      </c>
      <c r="F33" s="61"/>
      <c r="G33" s="61"/>
      <c r="H33" s="61"/>
      <c r="I33" s="61"/>
      <c r="J33" s="61"/>
      <c r="K33" s="61"/>
      <c r="L33" s="61"/>
      <c r="M33" s="61" t="n">
        <f aca="false">ROUND(MIDTERM!AA33,0)</f>
        <v>88</v>
      </c>
      <c r="N33" s="61"/>
      <c r="O33" s="61"/>
      <c r="P33" s="61"/>
      <c r="Q33" s="61"/>
      <c r="R33" s="61"/>
      <c r="S33" s="61" t="n">
        <f aca="false">ROUND(ENDTERM!AA33,0)</f>
        <v>91</v>
      </c>
      <c r="T33" s="61"/>
      <c r="U33" s="61"/>
      <c r="V33" s="62" t="n">
        <f aca="false">(E33*0.3)+(M33*0.3)+(S33*0.4)</f>
        <v>84.7</v>
      </c>
    </row>
    <row r="34" customFormat="false" ht="15" hidden="false" customHeight="false" outlineLevel="0" collapsed="false">
      <c r="A34" s="43" t="n">
        <f aca="false">'Input Data'!B38</f>
        <v>19</v>
      </c>
      <c r="B34" s="56" t="str">
        <f aca="false">'Input Data'!C38</f>
        <v>GENGOS, JUN APOSTOL</v>
      </c>
      <c r="C34" s="56"/>
      <c r="D34" s="60" t="n">
        <f aca="false">'Input Data'!G38</f>
        <v>0</v>
      </c>
      <c r="E34" s="61" t="n">
        <f aca="false">ROUND(PRELIM!AA34,0)</f>
        <v>72</v>
      </c>
      <c r="F34" s="61"/>
      <c r="G34" s="61"/>
      <c r="H34" s="61"/>
      <c r="I34" s="61"/>
      <c r="J34" s="61"/>
      <c r="K34" s="61"/>
      <c r="L34" s="61"/>
      <c r="M34" s="61" t="n">
        <f aca="false">ROUND(MIDTERM!AA34,0)</f>
        <v>85</v>
      </c>
      <c r="N34" s="61"/>
      <c r="O34" s="61"/>
      <c r="P34" s="61"/>
      <c r="Q34" s="61"/>
      <c r="R34" s="61"/>
      <c r="S34" s="61" t="n">
        <f aca="false">ROUND(ENDTERM!AA34,0)</f>
        <v>83</v>
      </c>
      <c r="T34" s="61"/>
      <c r="U34" s="61"/>
      <c r="V34" s="62" t="n">
        <f aca="false">(E34*0.3)+(M34*0.3)+(S34*0.4)</f>
        <v>80.3</v>
      </c>
    </row>
    <row r="35" customFormat="false" ht="15" hidden="false" customHeight="false" outlineLevel="0" collapsed="false">
      <c r="A35" s="43" t="n">
        <f aca="false">'Input Data'!B39</f>
        <v>20</v>
      </c>
      <c r="B35" s="56" t="str">
        <f aca="false">'Input Data'!C39</f>
        <v>GENOVA, JAMES DELA CRUZ</v>
      </c>
      <c r="C35" s="56"/>
      <c r="D35" s="60" t="n">
        <f aca="false">'Input Data'!G39</f>
        <v>0</v>
      </c>
      <c r="E35" s="61" t="n">
        <f aca="false">ROUND(PRELIM!AA35,0)</f>
        <v>69</v>
      </c>
      <c r="F35" s="61"/>
      <c r="G35" s="61"/>
      <c r="H35" s="61"/>
      <c r="I35" s="61"/>
      <c r="J35" s="61"/>
      <c r="K35" s="61"/>
      <c r="L35" s="61"/>
      <c r="M35" s="61" t="n">
        <f aca="false">ROUND(MIDTERM!AA35,0)</f>
        <v>80</v>
      </c>
      <c r="N35" s="61"/>
      <c r="O35" s="61"/>
      <c r="P35" s="61"/>
      <c r="Q35" s="61"/>
      <c r="R35" s="61"/>
      <c r="S35" s="61" t="n">
        <f aca="false">ROUND(ENDTERM!AA35,0)</f>
        <v>93</v>
      </c>
      <c r="T35" s="61"/>
      <c r="U35" s="61"/>
      <c r="V35" s="62" t="n">
        <f aca="false">(E35*0.3)+(M35*0.3)+(S35*0.4)</f>
        <v>81.9</v>
      </c>
    </row>
    <row r="36" customFormat="false" ht="15" hidden="false" customHeight="false" outlineLevel="0" collapsed="false">
      <c r="A36" s="43" t="n">
        <f aca="false">'Input Data'!B40</f>
        <v>21</v>
      </c>
      <c r="B36" s="56" t="str">
        <f aca="false">'Input Data'!C40</f>
        <v>GEPULANI, JESSA MAE CALUBAQUIT</v>
      </c>
      <c r="C36" s="56"/>
      <c r="D36" s="60" t="n">
        <f aca="false">'Input Data'!G40</f>
        <v>0</v>
      </c>
      <c r="E36" s="61" t="n">
        <f aca="false">ROUND(PRELIM!AA36,0)</f>
        <v>68</v>
      </c>
      <c r="F36" s="61"/>
      <c r="G36" s="61"/>
      <c r="H36" s="61"/>
      <c r="I36" s="61"/>
      <c r="J36" s="61"/>
      <c r="K36" s="61"/>
      <c r="L36" s="61"/>
      <c r="M36" s="61" t="n">
        <f aca="false">ROUND(MIDTERM!AA36,0)</f>
        <v>90</v>
      </c>
      <c r="N36" s="61"/>
      <c r="O36" s="61"/>
      <c r="P36" s="61"/>
      <c r="Q36" s="61"/>
      <c r="R36" s="61"/>
      <c r="S36" s="61" t="n">
        <f aca="false">ROUND(ENDTERM!AA36,0)</f>
        <v>80</v>
      </c>
      <c r="T36" s="61"/>
      <c r="U36" s="61"/>
      <c r="V36" s="62" t="n">
        <f aca="false">(E36*0.3)+(M36*0.3)+(S36*0.4)</f>
        <v>79.4</v>
      </c>
    </row>
    <row r="37" customFormat="false" ht="15" hidden="false" customHeight="false" outlineLevel="0" collapsed="false">
      <c r="A37" s="43" t="n">
        <f aca="false">'Input Data'!B41</f>
        <v>22</v>
      </c>
      <c r="B37" s="56" t="str">
        <f aca="false">'Input Data'!C41</f>
        <v>GERALDOY, PRECIOUS MARIE BAT-OG</v>
      </c>
      <c r="C37" s="56"/>
      <c r="D37" s="60" t="n">
        <f aca="false">'Input Data'!G41</f>
        <v>0</v>
      </c>
      <c r="E37" s="61" t="n">
        <f aca="false">ROUND(PRELIM!AA37,0)</f>
        <v>70</v>
      </c>
      <c r="F37" s="61"/>
      <c r="G37" s="61"/>
      <c r="H37" s="61"/>
      <c r="I37" s="61"/>
      <c r="J37" s="61"/>
      <c r="K37" s="61"/>
      <c r="L37" s="61"/>
      <c r="M37" s="61" t="n">
        <f aca="false">ROUND(MIDTERM!AA37,0)</f>
        <v>90</v>
      </c>
      <c r="N37" s="61"/>
      <c r="O37" s="61"/>
      <c r="P37" s="61"/>
      <c r="Q37" s="61"/>
      <c r="R37" s="61"/>
      <c r="S37" s="61" t="n">
        <f aca="false">ROUND(ENDTERM!AA37,0)</f>
        <v>89</v>
      </c>
      <c r="T37" s="61"/>
      <c r="U37" s="61"/>
      <c r="V37" s="62" t="n">
        <f aca="false">(E37*0.3)+(M37*0.3)+(S37*0.4)</f>
        <v>83.6</v>
      </c>
    </row>
    <row r="38" customFormat="false" ht="15" hidden="false" customHeight="false" outlineLevel="0" collapsed="false">
      <c r="A38" s="43" t="n">
        <f aca="false">'Input Data'!B42</f>
        <v>23</v>
      </c>
      <c r="B38" s="56" t="str">
        <f aca="false">'Input Data'!C42</f>
        <v>GESTUPA, STEPHINE NICKLE COLIMBO</v>
      </c>
      <c r="C38" s="56"/>
      <c r="D38" s="60" t="n">
        <f aca="false">'Input Data'!G42</f>
        <v>0</v>
      </c>
      <c r="E38" s="61" t="n">
        <f aca="false">ROUND(PRELIM!AA38,0)</f>
        <v>66</v>
      </c>
      <c r="F38" s="61"/>
      <c r="G38" s="61"/>
      <c r="H38" s="61"/>
      <c r="I38" s="61"/>
      <c r="J38" s="61"/>
      <c r="K38" s="61"/>
      <c r="L38" s="61"/>
      <c r="M38" s="61" t="n">
        <f aca="false">ROUND(MIDTERM!AA38,0)</f>
        <v>80</v>
      </c>
      <c r="N38" s="61"/>
      <c r="O38" s="61"/>
      <c r="P38" s="61"/>
      <c r="Q38" s="61"/>
      <c r="R38" s="61"/>
      <c r="S38" s="61" t="n">
        <f aca="false">ROUND(ENDTERM!AA38,0)</f>
        <v>80</v>
      </c>
      <c r="T38" s="61"/>
      <c r="U38" s="61"/>
      <c r="V38" s="62" t="n">
        <f aca="false">(E38*0.3)+(M38*0.3)+(S38*0.4)</f>
        <v>75.8</v>
      </c>
    </row>
    <row r="39" customFormat="false" ht="15" hidden="false" customHeight="false" outlineLevel="0" collapsed="false">
      <c r="A39" s="43" t="n">
        <f aca="false">'Input Data'!B43</f>
        <v>24</v>
      </c>
      <c r="B39" s="56" t="str">
        <f aca="false">'Input Data'!C43</f>
        <v>GILGON, ABEGAIL PELARA</v>
      </c>
      <c r="C39" s="56"/>
      <c r="D39" s="60" t="n">
        <f aca="false">'Input Data'!G43</f>
        <v>0</v>
      </c>
      <c r="E39" s="61" t="n">
        <f aca="false">ROUND(PRELIM!AA39,0)</f>
        <v>76</v>
      </c>
      <c r="F39" s="61"/>
      <c r="G39" s="61"/>
      <c r="H39" s="61"/>
      <c r="I39" s="61"/>
      <c r="J39" s="61"/>
      <c r="K39" s="61"/>
      <c r="L39" s="61"/>
      <c r="M39" s="61" t="n">
        <f aca="false">ROUND(MIDTERM!AA39,0)</f>
        <v>88</v>
      </c>
      <c r="N39" s="61"/>
      <c r="O39" s="61"/>
      <c r="P39" s="61"/>
      <c r="Q39" s="61"/>
      <c r="R39" s="61"/>
      <c r="S39" s="61" t="n">
        <f aca="false">ROUND(ENDTERM!AA39,0)</f>
        <v>91</v>
      </c>
      <c r="T39" s="61"/>
      <c r="U39" s="61"/>
      <c r="V39" s="62" t="n">
        <f aca="false">(E39*0.3)+(M39*0.3)+(S39*0.4)</f>
        <v>85.6</v>
      </c>
    </row>
    <row r="40" customFormat="false" ht="15" hidden="false" customHeight="false" outlineLevel="0" collapsed="false">
      <c r="A40" s="43" t="n">
        <f aca="false">'Input Data'!B44</f>
        <v>25</v>
      </c>
      <c r="B40" s="56" t="str">
        <f aca="false">'Input Data'!C44</f>
        <v>GITALAN, JOHN MARK GRANFIEL</v>
      </c>
      <c r="C40" s="56"/>
      <c r="D40" s="60" t="n">
        <f aca="false">'Input Data'!G44</f>
        <v>0</v>
      </c>
      <c r="E40" s="61" t="n">
        <f aca="false">ROUND(PRELIM!AA40,0)</f>
        <v>74</v>
      </c>
      <c r="F40" s="61"/>
      <c r="G40" s="61"/>
      <c r="H40" s="61"/>
      <c r="I40" s="61"/>
      <c r="J40" s="61"/>
      <c r="K40" s="61"/>
      <c r="L40" s="61"/>
      <c r="M40" s="61" t="n">
        <f aca="false">ROUND(MIDTERM!AA40,0)</f>
        <v>90</v>
      </c>
      <c r="N40" s="61"/>
      <c r="O40" s="61"/>
      <c r="P40" s="61"/>
      <c r="Q40" s="61"/>
      <c r="R40" s="61"/>
      <c r="S40" s="61" t="n">
        <f aca="false">ROUND(ENDTERM!AA40,0)</f>
        <v>89</v>
      </c>
      <c r="T40" s="61"/>
      <c r="U40" s="61"/>
      <c r="V40" s="62" t="n">
        <f aca="false">(E40*0.3)+(M40*0.3)+(S40*0.4)</f>
        <v>84.8</v>
      </c>
    </row>
    <row r="41" customFormat="false" ht="15" hidden="false" customHeight="false" outlineLevel="0" collapsed="false">
      <c r="A41" s="43" t="n">
        <f aca="false">'Input Data'!B45</f>
        <v>26</v>
      </c>
      <c r="B41" s="56" t="str">
        <f aca="false">'Input Data'!C45</f>
        <v>GORDO, PAUL GREG BAJO</v>
      </c>
      <c r="C41" s="56"/>
      <c r="D41" s="60" t="n">
        <f aca="false">'Input Data'!G45</f>
        <v>0</v>
      </c>
      <c r="E41" s="61" t="n">
        <f aca="false">ROUND(PRELIM!AA41,0)</f>
        <v>71</v>
      </c>
      <c r="F41" s="61"/>
      <c r="G41" s="61"/>
      <c r="H41" s="61"/>
      <c r="I41" s="61"/>
      <c r="J41" s="61"/>
      <c r="K41" s="61"/>
      <c r="L41" s="61"/>
      <c r="M41" s="61" t="n">
        <f aca="false">ROUND(MIDTERM!AA41,0)</f>
        <v>80</v>
      </c>
      <c r="N41" s="61"/>
      <c r="O41" s="61"/>
      <c r="P41" s="61"/>
      <c r="Q41" s="61"/>
      <c r="R41" s="61"/>
      <c r="S41" s="61" t="n">
        <f aca="false">ROUND(ENDTERM!AA41,0)</f>
        <v>80</v>
      </c>
      <c r="T41" s="61"/>
      <c r="U41" s="61"/>
      <c r="V41" s="62" t="n">
        <f aca="false">(E41*0.3)+(M41*0.3)+(S41*0.4)</f>
        <v>77.3</v>
      </c>
    </row>
    <row r="42" customFormat="false" ht="15" hidden="false" customHeight="false" outlineLevel="0" collapsed="false">
      <c r="A42" s="43" t="n">
        <f aca="false">'Input Data'!B46</f>
        <v>27</v>
      </c>
      <c r="B42" s="56" t="str">
        <f aca="false">'Input Data'!C46</f>
        <v>GRANDEA, JOSE REY URBANOZO</v>
      </c>
      <c r="C42" s="56"/>
      <c r="D42" s="60" t="n">
        <f aca="false">'Input Data'!G46</f>
        <v>0</v>
      </c>
      <c r="E42" s="61" t="n">
        <f aca="false">ROUND(PRELIM!AA42,0)</f>
        <v>77</v>
      </c>
      <c r="F42" s="61"/>
      <c r="G42" s="61"/>
      <c r="H42" s="61"/>
      <c r="I42" s="61"/>
      <c r="J42" s="61"/>
      <c r="K42" s="61"/>
      <c r="L42" s="61"/>
      <c r="M42" s="61" t="n">
        <f aca="false">ROUND(MIDTERM!AA42,0)</f>
        <v>50</v>
      </c>
      <c r="N42" s="61"/>
      <c r="O42" s="61"/>
      <c r="P42" s="61"/>
      <c r="Q42" s="61"/>
      <c r="R42" s="61"/>
      <c r="S42" s="61" t="n">
        <f aca="false">ROUND(ENDTERM!AA42,0)</f>
        <v>85</v>
      </c>
      <c r="T42" s="61"/>
      <c r="U42" s="61"/>
      <c r="V42" s="62" t="n">
        <f aca="false">(E42*0.3)+(M42*0.3)+(S42*0.4)</f>
        <v>72.1</v>
      </c>
    </row>
    <row r="43" customFormat="false" ht="15" hidden="false" customHeight="false" outlineLevel="0" collapsed="false">
      <c r="A43" s="43" t="n">
        <f aca="false">'Input Data'!B47</f>
        <v>28</v>
      </c>
      <c r="B43" s="56" t="str">
        <f aca="false">'Input Data'!C47</f>
        <v>GUILARAN, CHRISTIAN VILLAMAR</v>
      </c>
      <c r="C43" s="56"/>
      <c r="D43" s="60" t="n">
        <f aca="false">'Input Data'!G47</f>
        <v>0</v>
      </c>
      <c r="E43" s="61" t="n">
        <f aca="false">ROUND(PRELIM!AA43,0)</f>
        <v>73</v>
      </c>
      <c r="F43" s="61"/>
      <c r="G43" s="61"/>
      <c r="H43" s="61"/>
      <c r="I43" s="61"/>
      <c r="J43" s="61"/>
      <c r="K43" s="61"/>
      <c r="L43" s="61"/>
      <c r="M43" s="61" t="n">
        <f aca="false">ROUND(MIDTERM!AA43,0)</f>
        <v>90</v>
      </c>
      <c r="N43" s="61"/>
      <c r="O43" s="61"/>
      <c r="P43" s="61"/>
      <c r="Q43" s="61"/>
      <c r="R43" s="61"/>
      <c r="S43" s="61" t="n">
        <f aca="false">ROUND(ENDTERM!AA43,0)</f>
        <v>86</v>
      </c>
      <c r="T43" s="61"/>
      <c r="U43" s="61"/>
      <c r="V43" s="62" t="n">
        <f aca="false">(E43*0.3)+(M43*0.3)+(S43*0.4)</f>
        <v>83.3</v>
      </c>
    </row>
    <row r="44" customFormat="false" ht="15" hidden="false" customHeight="false" outlineLevel="0" collapsed="false">
      <c r="A44" s="43" t="n">
        <f aca="false">'Input Data'!B48</f>
        <v>29</v>
      </c>
      <c r="B44" s="56" t="str">
        <f aca="false">'Input Data'!C48</f>
        <v>HERMOSURA, JAYCA FUNDADOR</v>
      </c>
      <c r="C44" s="56"/>
      <c r="D44" s="60" t="n">
        <f aca="false">'Input Data'!G48</f>
        <v>0</v>
      </c>
      <c r="E44" s="61" t="n">
        <f aca="false">ROUND(PRELIM!AA44,0)</f>
        <v>78</v>
      </c>
      <c r="F44" s="61"/>
      <c r="G44" s="61"/>
      <c r="H44" s="61"/>
      <c r="I44" s="61"/>
      <c r="J44" s="61"/>
      <c r="K44" s="61"/>
      <c r="L44" s="61"/>
      <c r="M44" s="61" t="n">
        <f aca="false">ROUND(MIDTERM!AA44,0)</f>
        <v>85</v>
      </c>
      <c r="N44" s="61"/>
      <c r="O44" s="61"/>
      <c r="P44" s="61"/>
      <c r="Q44" s="61"/>
      <c r="R44" s="61"/>
      <c r="S44" s="61" t="n">
        <f aca="false">ROUND(ENDTERM!AA44,0)</f>
        <v>96</v>
      </c>
      <c r="T44" s="61"/>
      <c r="U44" s="61"/>
      <c r="V44" s="62" t="n">
        <f aca="false">(E44*0.3)+(M44*0.3)+(S44*0.4)</f>
        <v>87.3</v>
      </c>
    </row>
    <row r="45" customFormat="false" ht="15" hidden="false" customHeight="false" outlineLevel="0" collapsed="false">
      <c r="A45" s="43" t="n">
        <f aca="false">'Input Data'!B49</f>
        <v>30</v>
      </c>
      <c r="B45" s="56" t="str">
        <f aca="false">'Input Data'!C49</f>
        <v>HILADO, CATHERINE SALVILLA</v>
      </c>
      <c r="C45" s="56"/>
      <c r="D45" s="60" t="n">
        <f aca="false">'Input Data'!G49</f>
        <v>0</v>
      </c>
      <c r="E45" s="61" t="n">
        <f aca="false">ROUND(PRELIM!AA45,0)</f>
        <v>71</v>
      </c>
      <c r="F45" s="61"/>
      <c r="G45" s="61"/>
      <c r="H45" s="61"/>
      <c r="I45" s="61"/>
      <c r="J45" s="61"/>
      <c r="K45" s="61"/>
      <c r="L45" s="61"/>
      <c r="M45" s="61" t="n">
        <f aca="false">ROUND(MIDTERM!AA45,0)</f>
        <v>90</v>
      </c>
      <c r="N45" s="61"/>
      <c r="O45" s="61"/>
      <c r="P45" s="61"/>
      <c r="Q45" s="61"/>
      <c r="R45" s="61"/>
      <c r="S45" s="61" t="n">
        <f aca="false">ROUND(ENDTERM!AA45,0)</f>
        <v>80</v>
      </c>
      <c r="T45" s="61"/>
      <c r="U45" s="61"/>
      <c r="V45" s="62" t="n">
        <f aca="false">(E45*0.3)+(M45*0.3)+(S45*0.4)</f>
        <v>80.3</v>
      </c>
    </row>
    <row r="46" customFormat="false" ht="15" hidden="false" customHeight="false" outlineLevel="0" collapsed="false">
      <c r="A46" s="43" t="n">
        <f aca="false">'Input Data'!B50</f>
        <v>31</v>
      </c>
      <c r="B46" s="56" t="str">
        <f aca="false">'Input Data'!C50</f>
        <v>IBAÑEZ , ALFON FRANC DELA CRUZ</v>
      </c>
      <c r="C46" s="56"/>
      <c r="D46" s="60" t="n">
        <f aca="false">'Input Data'!G50</f>
        <v>0</v>
      </c>
      <c r="E46" s="61" t="n">
        <f aca="false">ROUND(PRELIM!AA46,0)</f>
        <v>71</v>
      </c>
      <c r="F46" s="61"/>
      <c r="G46" s="61"/>
      <c r="H46" s="61"/>
      <c r="I46" s="61"/>
      <c r="J46" s="61"/>
      <c r="K46" s="61"/>
      <c r="L46" s="61"/>
      <c r="M46" s="61" t="n">
        <f aca="false">ROUND(MIDTERM!AA46,0)</f>
        <v>50</v>
      </c>
      <c r="N46" s="61"/>
      <c r="O46" s="61"/>
      <c r="P46" s="61"/>
      <c r="Q46" s="61"/>
      <c r="R46" s="61"/>
      <c r="S46" s="61" t="n">
        <f aca="false">ROUND(ENDTERM!AA46,0)</f>
        <v>85</v>
      </c>
      <c r="T46" s="61"/>
      <c r="U46" s="61"/>
      <c r="V46" s="62" t="n">
        <f aca="false">(E46*0.3)+(M46*0.3)+(S46*0.4)</f>
        <v>70.3</v>
      </c>
    </row>
    <row r="47" customFormat="false" ht="15" hidden="false" customHeight="false" outlineLevel="0" collapsed="false">
      <c r="A47" s="43" t="n">
        <f aca="false">'Input Data'!B51</f>
        <v>32</v>
      </c>
      <c r="B47" s="56" t="str">
        <f aca="false">'Input Data'!C51</f>
        <v>IBAÑEZ, LEO CASSANDRE DIONILLO</v>
      </c>
      <c r="C47" s="56"/>
      <c r="D47" s="60" t="n">
        <f aca="false">'Input Data'!G51</f>
        <v>0</v>
      </c>
      <c r="E47" s="61" t="n">
        <f aca="false">ROUND(PRELIM!AA47,0)</f>
        <v>73</v>
      </c>
      <c r="F47" s="61"/>
      <c r="G47" s="61"/>
      <c r="H47" s="61"/>
      <c r="I47" s="61"/>
      <c r="J47" s="61"/>
      <c r="K47" s="61"/>
      <c r="L47" s="61"/>
      <c r="M47" s="61" t="n">
        <f aca="false">ROUND(MIDTERM!AA47,0)</f>
        <v>80</v>
      </c>
      <c r="N47" s="61"/>
      <c r="O47" s="61"/>
      <c r="P47" s="61"/>
      <c r="Q47" s="61"/>
      <c r="R47" s="61"/>
      <c r="S47" s="61" t="n">
        <f aca="false">ROUND(ENDTERM!AA47,0)</f>
        <v>80</v>
      </c>
      <c r="T47" s="61"/>
      <c r="U47" s="61"/>
      <c r="V47" s="62" t="n">
        <f aca="false">(E47*0.3)+(M47*0.3)+(S47*0.4)</f>
        <v>77.9</v>
      </c>
    </row>
    <row r="48" customFormat="false" ht="15" hidden="false" customHeight="false" outlineLevel="0" collapsed="false">
      <c r="A48" s="43" t="n">
        <f aca="false">'Input Data'!B52</f>
        <v>33</v>
      </c>
      <c r="B48" s="56" t="str">
        <f aca="false">'Input Data'!C52</f>
        <v>ILUSTRISIMO, REYNALDO SAYSON</v>
      </c>
      <c r="C48" s="56"/>
      <c r="D48" s="60" t="n">
        <f aca="false">'Input Data'!G52</f>
        <v>0</v>
      </c>
      <c r="E48" s="61" t="n">
        <f aca="false">ROUND(PRELIM!AA48,0)</f>
        <v>71</v>
      </c>
      <c r="F48" s="61"/>
      <c r="G48" s="61"/>
      <c r="H48" s="61"/>
      <c r="I48" s="61"/>
      <c r="J48" s="61"/>
      <c r="K48" s="61"/>
      <c r="L48" s="61"/>
      <c r="M48" s="61" t="n">
        <f aca="false">ROUND(MIDTERM!AA48,0)</f>
        <v>90</v>
      </c>
      <c r="N48" s="61"/>
      <c r="O48" s="61"/>
      <c r="P48" s="61"/>
      <c r="Q48" s="61"/>
      <c r="R48" s="61"/>
      <c r="S48" s="61" t="n">
        <f aca="false">ROUND(ENDTERM!AA48,0)</f>
        <v>80</v>
      </c>
      <c r="T48" s="61"/>
      <c r="U48" s="61"/>
      <c r="V48" s="62" t="n">
        <f aca="false">(E48*0.3)+(M48*0.3)+(S48*0.4)</f>
        <v>80.3</v>
      </c>
    </row>
    <row r="49" customFormat="false" ht="15" hidden="false" customHeight="false" outlineLevel="0" collapsed="false">
      <c r="A49" s="43" t="n">
        <f aca="false">'Input Data'!B53</f>
        <v>34</v>
      </c>
      <c r="B49" s="56" t="str">
        <f aca="false">'Input Data'!C53</f>
        <v>ILUSTRISIMO, REYSHEL SAYSON</v>
      </c>
      <c r="C49" s="56"/>
      <c r="D49" s="60" t="n">
        <f aca="false">'Input Data'!G53</f>
        <v>0</v>
      </c>
      <c r="E49" s="61" t="n">
        <f aca="false">ROUND(PRELIM!AA49,0)</f>
        <v>73</v>
      </c>
      <c r="F49" s="61"/>
      <c r="G49" s="61"/>
      <c r="H49" s="61"/>
      <c r="I49" s="61"/>
      <c r="J49" s="61"/>
      <c r="K49" s="61"/>
      <c r="L49" s="61"/>
      <c r="M49" s="61" t="n">
        <f aca="false">ROUND(MIDTERM!AA49,0)</f>
        <v>90</v>
      </c>
      <c r="N49" s="61"/>
      <c r="O49" s="61"/>
      <c r="P49" s="61"/>
      <c r="Q49" s="61"/>
      <c r="R49" s="61"/>
      <c r="S49" s="61" t="n">
        <f aca="false">ROUND(ENDTERM!AA49,0)</f>
        <v>80</v>
      </c>
      <c r="T49" s="61"/>
      <c r="U49" s="61"/>
      <c r="V49" s="62" t="n">
        <f aca="false">(E49*0.3)+(M49*0.3)+(S49*0.4)</f>
        <v>80.9</v>
      </c>
    </row>
    <row r="50" customFormat="false" ht="15" hidden="false" customHeight="false" outlineLevel="0" collapsed="false">
      <c r="A50" s="43" t="n">
        <f aca="false">'Input Data'!B54</f>
        <v>35</v>
      </c>
      <c r="B50" s="56" t="str">
        <f aca="false">'Input Data'!C54</f>
        <v>JAIN, HARVEY ARIOLA</v>
      </c>
      <c r="C50" s="56"/>
      <c r="D50" s="60" t="n">
        <f aca="false">'Input Data'!G54</f>
        <v>0</v>
      </c>
      <c r="E50" s="61" t="n">
        <f aca="false">ROUND(PRELIM!AA50,0)</f>
        <v>74</v>
      </c>
      <c r="F50" s="61"/>
      <c r="G50" s="61"/>
      <c r="H50" s="61"/>
      <c r="I50" s="61"/>
      <c r="J50" s="61"/>
      <c r="K50" s="61"/>
      <c r="L50" s="61"/>
      <c r="M50" s="61" t="n">
        <f aca="false">ROUND(MIDTERM!AA50,0)</f>
        <v>50</v>
      </c>
      <c r="N50" s="61"/>
      <c r="O50" s="61"/>
      <c r="P50" s="61"/>
      <c r="Q50" s="61"/>
      <c r="R50" s="61"/>
      <c r="S50" s="61" t="n">
        <f aca="false">ROUND(ENDTERM!AA50,0)</f>
        <v>85</v>
      </c>
      <c r="T50" s="61"/>
      <c r="U50" s="61"/>
      <c r="V50" s="62" t="n">
        <f aca="false">(E50*0.3)+(M50*0.3)+(S50*0.4)</f>
        <v>71.2</v>
      </c>
    </row>
    <row r="51" customFormat="false" ht="15" hidden="false" customHeight="false" outlineLevel="0" collapsed="false">
      <c r="A51" s="43" t="n">
        <f aca="false">'Input Data'!B55</f>
        <v>36</v>
      </c>
      <c r="B51" s="56" t="str">
        <f aca="false">'Input Data'!C55</f>
        <v>LACHICA, ALTHEIA ROSE CASIDSID</v>
      </c>
      <c r="C51" s="56"/>
      <c r="D51" s="60" t="n">
        <f aca="false">'Input Data'!G55</f>
        <v>0</v>
      </c>
      <c r="E51" s="61" t="n">
        <f aca="false">ROUND(PRELIM!AA51,0)</f>
        <v>65</v>
      </c>
      <c r="F51" s="61"/>
      <c r="G51" s="61"/>
      <c r="H51" s="61"/>
      <c r="I51" s="61"/>
      <c r="J51" s="61"/>
      <c r="K51" s="61"/>
      <c r="L51" s="61"/>
      <c r="M51" s="61" t="n">
        <f aca="false">ROUND(MIDTERM!AA51,0)</f>
        <v>80</v>
      </c>
      <c r="N51" s="61"/>
      <c r="O51" s="61"/>
      <c r="P51" s="61"/>
      <c r="Q51" s="61"/>
      <c r="R51" s="61"/>
      <c r="S51" s="61" t="n">
        <f aca="false">ROUND(ENDTERM!AA51,0)</f>
        <v>80</v>
      </c>
      <c r="T51" s="61"/>
      <c r="U51" s="61"/>
      <c r="V51" s="62" t="n">
        <f aca="false">(E51*0.3)+(M51*0.3)+(S51*0.4)</f>
        <v>75.5</v>
      </c>
    </row>
    <row r="52" customFormat="false" ht="15" hidden="false" customHeight="false" outlineLevel="0" collapsed="false">
      <c r="A52" s="43" t="n">
        <f aca="false">'Input Data'!B56</f>
        <v>37</v>
      </c>
      <c r="B52" s="56" t="str">
        <f aca="false">'Input Data'!C56</f>
        <v>LACSON, NOVIE VALENTINO</v>
      </c>
      <c r="C52" s="56"/>
      <c r="D52" s="60" t="n">
        <f aca="false">'Input Data'!G56</f>
        <v>0</v>
      </c>
      <c r="E52" s="61" t="n">
        <f aca="false">ROUND(PRELIM!AA52,0)</f>
        <v>75</v>
      </c>
      <c r="F52" s="61"/>
      <c r="G52" s="61"/>
      <c r="H52" s="61"/>
      <c r="I52" s="61"/>
      <c r="J52" s="61"/>
      <c r="K52" s="61"/>
      <c r="L52" s="61"/>
      <c r="M52" s="61" t="n">
        <f aca="false">ROUND(MIDTERM!AA52,0)</f>
        <v>90</v>
      </c>
      <c r="N52" s="61"/>
      <c r="O52" s="61"/>
      <c r="P52" s="61"/>
      <c r="Q52" s="61"/>
      <c r="R52" s="61"/>
      <c r="S52" s="61" t="n">
        <f aca="false">ROUND(ENDTERM!AA52,0)</f>
        <v>86</v>
      </c>
      <c r="T52" s="61"/>
      <c r="U52" s="61"/>
      <c r="V52" s="62" t="n">
        <f aca="false">(E52*0.3)+(M52*0.3)+(S52*0.4)</f>
        <v>83.9</v>
      </c>
    </row>
    <row r="53" customFormat="false" ht="15" hidden="false" customHeight="false" outlineLevel="0" collapsed="false">
      <c r="A53" s="43" t="n">
        <f aca="false">'Input Data'!B57</f>
        <v>38</v>
      </c>
      <c r="B53" s="56" t="str">
        <f aca="false">'Input Data'!C57</f>
        <v>LAURITO, MJ MEDES</v>
      </c>
      <c r="C53" s="56"/>
      <c r="D53" s="60" t="n">
        <f aca="false">'Input Data'!G57</f>
        <v>0</v>
      </c>
      <c r="E53" s="61" t="n">
        <f aca="false">ROUND(PRELIM!AA53,0)</f>
        <v>71</v>
      </c>
      <c r="F53" s="61"/>
      <c r="G53" s="61"/>
      <c r="H53" s="61"/>
      <c r="I53" s="61"/>
      <c r="J53" s="61"/>
      <c r="K53" s="61"/>
      <c r="L53" s="61"/>
      <c r="M53" s="61" t="n">
        <f aca="false">ROUND(MIDTERM!AA53,0)</f>
        <v>80</v>
      </c>
      <c r="N53" s="61"/>
      <c r="O53" s="61"/>
      <c r="P53" s="61"/>
      <c r="Q53" s="61"/>
      <c r="R53" s="61"/>
      <c r="S53" s="61" t="n">
        <f aca="false">ROUND(ENDTERM!AA53,0)</f>
        <v>93</v>
      </c>
      <c r="T53" s="61"/>
      <c r="U53" s="61"/>
      <c r="V53" s="62" t="n">
        <f aca="false">(E53*0.3)+(M53*0.3)+(S53*0.4)</f>
        <v>82.5</v>
      </c>
    </row>
    <row r="54" customFormat="false" ht="15" hidden="false" customHeight="false" outlineLevel="0" collapsed="false">
      <c r="A54" s="43" t="n">
        <f aca="false">'Input Data'!B58</f>
        <v>39</v>
      </c>
      <c r="B54" s="56" t="str">
        <f aca="false">'Input Data'!C58</f>
        <v>LAYAN, JOHN REL RAGO</v>
      </c>
      <c r="C54" s="56"/>
      <c r="D54" s="60" t="n">
        <f aca="false">'Input Data'!G58</f>
        <v>0</v>
      </c>
      <c r="E54" s="61" t="n">
        <f aca="false">ROUND(PRELIM!AA54,0)</f>
        <v>75</v>
      </c>
      <c r="F54" s="61"/>
      <c r="G54" s="61"/>
      <c r="H54" s="61"/>
      <c r="I54" s="61"/>
      <c r="J54" s="61"/>
      <c r="K54" s="61"/>
      <c r="L54" s="61"/>
      <c r="M54" s="61" t="n">
        <f aca="false">ROUND(MIDTERM!AA54,0)</f>
        <v>88</v>
      </c>
      <c r="N54" s="61"/>
      <c r="O54" s="61"/>
      <c r="P54" s="61"/>
      <c r="Q54" s="61"/>
      <c r="R54" s="61"/>
      <c r="S54" s="61" t="n">
        <f aca="false">ROUND(ENDTERM!AA54,0)</f>
        <v>91</v>
      </c>
      <c r="T54" s="61"/>
      <c r="U54" s="61"/>
      <c r="V54" s="62" t="n">
        <f aca="false">(E54*0.3)+(M54*0.3)+(S54*0.4)</f>
        <v>85.3</v>
      </c>
    </row>
    <row r="55" customFormat="false" ht="15" hidden="false" customHeight="false" outlineLevel="0" collapsed="false">
      <c r="A55" s="43" t="n">
        <f aca="false">'Input Data'!B59</f>
        <v>40</v>
      </c>
      <c r="B55" s="56" t="str">
        <f aca="false">'Input Data'!C59</f>
        <v>LIBRE, MARIEL CAUSAPIN</v>
      </c>
      <c r="C55" s="56"/>
      <c r="D55" s="60" t="n">
        <f aca="false">'Input Data'!G59</f>
        <v>0</v>
      </c>
      <c r="E55" s="61" t="n">
        <f aca="false">ROUND(PRELIM!AA55,0)</f>
        <v>79</v>
      </c>
      <c r="F55" s="61"/>
      <c r="G55" s="61"/>
      <c r="H55" s="61"/>
      <c r="I55" s="61"/>
      <c r="J55" s="61"/>
      <c r="K55" s="61"/>
      <c r="L55" s="61"/>
      <c r="M55" s="61" t="n">
        <f aca="false">ROUND(MIDTERM!AA55,0)</f>
        <v>85</v>
      </c>
      <c r="N55" s="61"/>
      <c r="O55" s="61"/>
      <c r="P55" s="61"/>
      <c r="Q55" s="61"/>
      <c r="R55" s="61"/>
      <c r="S55" s="61" t="n">
        <f aca="false">ROUND(ENDTERM!AA55,0)</f>
        <v>96</v>
      </c>
      <c r="T55" s="61"/>
      <c r="U55" s="61"/>
      <c r="V55" s="62" t="n">
        <f aca="false">(E55*0.3)+(M55*0.3)+(S55*0.4)</f>
        <v>87.6</v>
      </c>
    </row>
    <row r="56" customFormat="false" ht="15" hidden="false" customHeight="false" outlineLevel="0" collapsed="false">
      <c r="A56" s="43" t="n">
        <f aca="false">'Input Data'!B60</f>
        <v>41</v>
      </c>
      <c r="B56" s="56" t="str">
        <f aca="false">'Input Data'!C60</f>
        <v>LIRAZAN, ADRIAN PANONCIAL</v>
      </c>
      <c r="C56" s="56"/>
      <c r="D56" s="60" t="n">
        <f aca="false">'Input Data'!G60</f>
        <v>0</v>
      </c>
      <c r="E56" s="61" t="n">
        <f aca="false">ROUND(PRELIM!AA56,0)</f>
        <v>66</v>
      </c>
      <c r="F56" s="61"/>
      <c r="G56" s="61"/>
      <c r="H56" s="61"/>
      <c r="I56" s="61"/>
      <c r="J56" s="61"/>
      <c r="K56" s="61"/>
      <c r="L56" s="61"/>
      <c r="M56" s="61" t="n">
        <f aca="false">ROUND(MIDTERM!AA56,0)</f>
        <v>80</v>
      </c>
      <c r="N56" s="61"/>
      <c r="O56" s="61"/>
      <c r="P56" s="61"/>
      <c r="Q56" s="61"/>
      <c r="R56" s="61"/>
      <c r="S56" s="61" t="n">
        <f aca="false">ROUND(ENDTERM!AA56,0)</f>
        <v>93</v>
      </c>
      <c r="T56" s="61"/>
      <c r="U56" s="61"/>
      <c r="V56" s="62" t="n">
        <f aca="false">(E56*0.3)+(M56*0.3)+(S56*0.4)</f>
        <v>81</v>
      </c>
    </row>
    <row r="57" customFormat="false" ht="15" hidden="false" customHeight="false" outlineLevel="0" collapsed="false">
      <c r="A57" s="43" t="n">
        <f aca="false">'Input Data'!B61</f>
        <v>42</v>
      </c>
      <c r="B57" s="56" t="str">
        <f aca="false">'Input Data'!C61</f>
        <v>LOZANA, REGEL KEN MAGDAEL</v>
      </c>
      <c r="C57" s="56"/>
      <c r="D57" s="60" t="n">
        <f aca="false">'Input Data'!G61</f>
        <v>0</v>
      </c>
      <c r="E57" s="61" t="n">
        <f aca="false">ROUND(PRELIM!AA57,0)</f>
        <v>55</v>
      </c>
      <c r="F57" s="61"/>
      <c r="G57" s="61"/>
      <c r="H57" s="61"/>
      <c r="I57" s="61"/>
      <c r="J57" s="61"/>
      <c r="K57" s="61"/>
      <c r="L57" s="61"/>
      <c r="M57" s="61" t="n">
        <f aca="false">ROUND(MIDTERM!AA57,0)</f>
        <v>50</v>
      </c>
      <c r="N57" s="61"/>
      <c r="O57" s="61"/>
      <c r="P57" s="61"/>
      <c r="Q57" s="61"/>
      <c r="R57" s="61"/>
      <c r="S57" s="61" t="n">
        <f aca="false">ROUND(ENDTERM!AA57,0)</f>
        <v>50</v>
      </c>
      <c r="T57" s="61"/>
      <c r="U57" s="61"/>
      <c r="V57" s="62" t="n">
        <f aca="false">(E57*0.3)+(M57*0.3)+(S57*0.4)</f>
        <v>51.5</v>
      </c>
    </row>
    <row r="58" customFormat="false" ht="15" hidden="false" customHeight="false" outlineLevel="0" collapsed="false">
      <c r="A58" s="43" t="n">
        <f aca="false">'Input Data'!B62</f>
        <v>43</v>
      </c>
      <c r="B58" s="56" t="str">
        <f aca="false">'Input Data'!C62</f>
        <v>LUCASAN, ARC XERLAN DULLA</v>
      </c>
      <c r="C58" s="56"/>
      <c r="D58" s="60" t="n">
        <f aca="false">'Input Data'!G62</f>
        <v>0</v>
      </c>
      <c r="E58" s="61" t="n">
        <f aca="false">ROUND(PRELIM!AA58,0)</f>
        <v>75</v>
      </c>
      <c r="F58" s="61"/>
      <c r="G58" s="61"/>
      <c r="H58" s="61"/>
      <c r="I58" s="61"/>
      <c r="J58" s="61"/>
      <c r="K58" s="61"/>
      <c r="L58" s="61"/>
      <c r="M58" s="61" t="n">
        <f aca="false">ROUND(MIDTERM!AA58,0)</f>
        <v>90</v>
      </c>
      <c r="N58" s="61"/>
      <c r="O58" s="61"/>
      <c r="P58" s="61"/>
      <c r="Q58" s="61"/>
      <c r="R58" s="61"/>
      <c r="S58" s="61" t="n">
        <f aca="false">ROUND(ENDTERM!AA58,0)</f>
        <v>89</v>
      </c>
      <c r="T58" s="61"/>
      <c r="U58" s="61"/>
      <c r="V58" s="62" t="n">
        <f aca="false">(E58*0.3)+(M58*0.3)+(S58*0.4)</f>
        <v>85.1</v>
      </c>
    </row>
    <row r="59" customFormat="false" ht="15" hidden="false" customHeight="false" outlineLevel="0" collapsed="false">
      <c r="A59" s="43" t="n">
        <f aca="false">'Input Data'!B63</f>
        <v>44</v>
      </c>
      <c r="B59" s="56" t="str">
        <f aca="false">'Input Data'!C63</f>
        <v>SILPAO, ADRIAN FREDERICK GATDULA</v>
      </c>
      <c r="C59" s="56"/>
      <c r="D59" s="60" t="n">
        <f aca="false">'Input Data'!G63</f>
        <v>0</v>
      </c>
      <c r="E59" s="61" t="n">
        <f aca="false">ROUND(PRELIM!AA59,0)</f>
        <v>67</v>
      </c>
      <c r="F59" s="61"/>
      <c r="G59" s="61"/>
      <c r="H59" s="61"/>
      <c r="I59" s="61"/>
      <c r="J59" s="61"/>
      <c r="K59" s="61"/>
      <c r="L59" s="61"/>
      <c r="M59" s="61" t="n">
        <f aca="false">ROUND(MIDTERM!AA59,0)</f>
        <v>88</v>
      </c>
      <c r="N59" s="61"/>
      <c r="O59" s="61"/>
      <c r="P59" s="61"/>
      <c r="Q59" s="61"/>
      <c r="R59" s="61"/>
      <c r="S59" s="61" t="n">
        <f aca="false">ROUND(ENDTERM!AA59,0)</f>
        <v>93</v>
      </c>
      <c r="T59" s="61"/>
      <c r="U59" s="61"/>
      <c r="V59" s="62" t="n">
        <f aca="false">(E59*0.3)+(M59*0.3)+(S59*0.4)</f>
        <v>83.7</v>
      </c>
    </row>
    <row r="60" customFormat="false" ht="15" hidden="false" customHeight="false" outlineLevel="0" collapsed="false">
      <c r="A60" s="43" t="n">
        <f aca="false">'Input Data'!B64</f>
        <v>45</v>
      </c>
      <c r="B60" s="56" t="str">
        <f aca="false">'Input Data'!C64</f>
        <v>SILPAO, ANDREI ANTONIO GATDULA</v>
      </c>
      <c r="C60" s="56"/>
      <c r="D60" s="60" t="n">
        <f aca="false">'Input Data'!G64</f>
        <v>0</v>
      </c>
      <c r="E60" s="61" t="n">
        <f aca="false">ROUND(PRELIM!AA60,0)</f>
        <v>67</v>
      </c>
      <c r="F60" s="61"/>
      <c r="G60" s="61"/>
      <c r="H60" s="61"/>
      <c r="I60" s="61"/>
      <c r="J60" s="61"/>
      <c r="K60" s="61"/>
      <c r="L60" s="61"/>
      <c r="M60" s="61" t="n">
        <f aca="false">ROUND(MIDTERM!AA60,0)</f>
        <v>88</v>
      </c>
      <c r="N60" s="61"/>
      <c r="O60" s="61"/>
      <c r="P60" s="61"/>
      <c r="Q60" s="61"/>
      <c r="R60" s="61"/>
      <c r="S60" s="61" t="n">
        <f aca="false">ROUND(ENDTERM!AA60,0)</f>
        <v>93</v>
      </c>
      <c r="T60" s="61"/>
      <c r="U60" s="61"/>
      <c r="V60" s="62" t="n">
        <f aca="false">(E60*0.3)+(M60*0.3)+(S60*0.4)</f>
        <v>83.7</v>
      </c>
    </row>
    <row r="61" customFormat="false" ht="15" hidden="false" customHeight="false" outlineLevel="0" collapsed="false">
      <c r="A61" s="43" t="n">
        <f aca="false">'Input Data'!B65</f>
        <v>46</v>
      </c>
      <c r="B61" s="56" t="str">
        <f aca="false">'Input Data'!C65</f>
        <v>SUMAGAYSAY, MAY ANN MOREÑO</v>
      </c>
      <c r="C61" s="56"/>
      <c r="D61" s="60" t="n">
        <f aca="false">'Input Data'!G65</f>
        <v>0</v>
      </c>
      <c r="E61" s="61" t="n">
        <f aca="false">ROUND(PRELIM!AA61,0)</f>
        <v>68</v>
      </c>
      <c r="F61" s="61"/>
      <c r="G61" s="61"/>
      <c r="H61" s="61"/>
      <c r="I61" s="61"/>
      <c r="J61" s="61"/>
      <c r="K61" s="61"/>
      <c r="L61" s="61"/>
      <c r="M61" s="61" t="n">
        <f aca="false">ROUND(MIDTERM!AA61,0)</f>
        <v>88</v>
      </c>
      <c r="N61" s="61"/>
      <c r="O61" s="61"/>
      <c r="P61" s="61"/>
      <c r="Q61" s="61"/>
      <c r="R61" s="61"/>
      <c r="S61" s="61" t="n">
        <f aca="false">ROUND(ENDTERM!AA61,0)</f>
        <v>93</v>
      </c>
      <c r="T61" s="61"/>
      <c r="U61" s="61"/>
      <c r="V61" s="62" t="n">
        <f aca="false">(E61*0.3)+(M61*0.3)+(S61*0.4)</f>
        <v>84</v>
      </c>
    </row>
    <row r="62" customFormat="false" ht="15" hidden="false" customHeight="false" outlineLevel="0" collapsed="false">
      <c r="A62" s="43" t="n">
        <f aca="false">'Input Data'!B66</f>
        <v>47</v>
      </c>
      <c r="B62" s="56" t="str">
        <f aca="false">'Input Data'!C66</f>
        <v>TAGULALAC, ANDREI CHRISTOPHER RAVINA</v>
      </c>
      <c r="C62" s="56"/>
      <c r="D62" s="60" t="n">
        <f aca="false">'Input Data'!G66</f>
        <v>0</v>
      </c>
      <c r="E62" s="61" t="n">
        <f aca="false">ROUND(PRELIM!AA62,0)</f>
        <v>65</v>
      </c>
      <c r="F62" s="61"/>
      <c r="G62" s="61"/>
      <c r="H62" s="61"/>
      <c r="I62" s="61"/>
      <c r="J62" s="61"/>
      <c r="K62" s="61"/>
      <c r="L62" s="61"/>
      <c r="M62" s="61" t="n">
        <f aca="false">ROUND(MIDTERM!AA62,0)</f>
        <v>80</v>
      </c>
      <c r="N62" s="61"/>
      <c r="O62" s="61"/>
      <c r="P62" s="61"/>
      <c r="Q62" s="61"/>
      <c r="R62" s="61"/>
      <c r="S62" s="61" t="n">
        <f aca="false">ROUND(ENDTERM!AA62,0)</f>
        <v>93</v>
      </c>
      <c r="T62" s="61"/>
      <c r="U62" s="61"/>
      <c r="V62" s="62" t="n">
        <f aca="false">(E62*0.3)+(M62*0.3)+(S62*0.4)</f>
        <v>80.7</v>
      </c>
    </row>
    <row r="63" customFormat="false" ht="15" hidden="false" customHeight="false" outlineLevel="0" collapsed="false">
      <c r="A63" s="43" t="n">
        <f aca="false">'Input Data'!B67</f>
        <v>48</v>
      </c>
      <c r="B63" s="56" t="str">
        <f aca="false">'Input Data'!C67</f>
        <v>TANAYA, KENNA ROSE DEE PERDENIA</v>
      </c>
      <c r="C63" s="56"/>
      <c r="D63" s="60" t="n">
        <f aca="false">'Input Data'!G67</f>
        <v>0</v>
      </c>
      <c r="E63" s="61" t="n">
        <f aca="false">ROUND(PRELIM!AA63,0)</f>
        <v>68</v>
      </c>
      <c r="F63" s="61"/>
      <c r="G63" s="61"/>
      <c r="H63" s="61"/>
      <c r="I63" s="61"/>
      <c r="J63" s="61"/>
      <c r="K63" s="61"/>
      <c r="L63" s="61"/>
      <c r="M63" s="61" t="n">
        <f aca="false">ROUND(MIDTERM!AA63,0)</f>
        <v>88</v>
      </c>
      <c r="N63" s="61"/>
      <c r="O63" s="61"/>
      <c r="P63" s="61"/>
      <c r="Q63" s="61"/>
      <c r="R63" s="61"/>
      <c r="S63" s="61" t="n">
        <f aca="false">ROUND(ENDTERM!AA63,0)</f>
        <v>93</v>
      </c>
      <c r="T63" s="61"/>
      <c r="U63" s="61"/>
      <c r="V63" s="62" t="n">
        <f aca="false">(E63*0.3)+(M63*0.3)+(S63*0.4)</f>
        <v>84</v>
      </c>
    </row>
    <row r="64" customFormat="false" ht="15" hidden="false" customHeight="false" outlineLevel="0" collapsed="false">
      <c r="A64" s="43" t="n">
        <f aca="false">'Input Data'!B68</f>
        <v>49</v>
      </c>
      <c r="B64" s="56" t="str">
        <f aca="false">'Input Data'!C68</f>
        <v>LAPUZ, KEN HUXLEY</v>
      </c>
      <c r="C64" s="56"/>
      <c r="D64" s="60" t="n">
        <f aca="false">'Input Data'!G68</f>
        <v>0</v>
      </c>
      <c r="E64" s="61" t="n">
        <f aca="false">ROUND(PRELIM!AA64,0)</f>
        <v>68</v>
      </c>
      <c r="F64" s="61"/>
      <c r="G64" s="61"/>
      <c r="H64" s="61"/>
      <c r="I64" s="61"/>
      <c r="J64" s="61"/>
      <c r="K64" s="61"/>
      <c r="L64" s="61"/>
      <c r="M64" s="61" t="n">
        <f aca="false">ROUND(MIDTERM!AA64,0)</f>
        <v>50</v>
      </c>
      <c r="N64" s="61"/>
      <c r="O64" s="61"/>
      <c r="P64" s="61"/>
      <c r="Q64" s="61"/>
      <c r="R64" s="61"/>
      <c r="S64" s="61" t="n">
        <f aca="false">ROUND(ENDTERM!AA64,0)</f>
        <v>50</v>
      </c>
      <c r="T64" s="61"/>
      <c r="U64" s="61"/>
      <c r="V64" s="62" t="n">
        <f aca="false">(E64*0.3)+(M64*0.3)+(S64*0.4)</f>
        <v>55.4</v>
      </c>
    </row>
    <row r="65" customFormat="false" ht="15" hidden="false" customHeight="false" outlineLevel="0" collapsed="false">
      <c r="A65" s="43" t="str">
        <f aca="false">'Input Data'!B69</f>
        <v/>
      </c>
      <c r="B65" s="56" t="n">
        <f aca="false">'Input Data'!C69</f>
        <v>0</v>
      </c>
      <c r="C65" s="56"/>
      <c r="D65" s="60" t="n">
        <f aca="false">'Input Data'!G69</f>
        <v>0</v>
      </c>
      <c r="E65" s="61" t="n">
        <f aca="false">ROUND(PRELIM!AA65,0)</f>
        <v>50</v>
      </c>
      <c r="F65" s="61"/>
      <c r="G65" s="61"/>
      <c r="H65" s="61"/>
      <c r="I65" s="61"/>
      <c r="J65" s="61"/>
      <c r="K65" s="61"/>
      <c r="L65" s="61"/>
      <c r="M65" s="61" t="n">
        <f aca="false">ROUND(MIDTERM!AA65,0)</f>
        <v>50</v>
      </c>
      <c r="N65" s="61"/>
      <c r="O65" s="61"/>
      <c r="P65" s="61"/>
      <c r="Q65" s="61"/>
      <c r="R65" s="61"/>
      <c r="S65" s="61" t="n">
        <f aca="false">ROUND(ENDTERM!AA65,0)</f>
        <v>50</v>
      </c>
      <c r="T65" s="61"/>
      <c r="U65" s="61"/>
      <c r="V65" s="62" t="n">
        <f aca="false">(E65*0.3)+(M65*0.3)+(S65*0.4)</f>
        <v>50</v>
      </c>
    </row>
    <row r="66" customFormat="false" ht="15" hidden="false" customHeight="false" outlineLevel="0" collapsed="false">
      <c r="A66" s="43" t="str">
        <f aca="false">'Input Data'!B70</f>
        <v/>
      </c>
      <c r="B66" s="56" t="n">
        <f aca="false">'Input Data'!C70</f>
        <v>0</v>
      </c>
      <c r="C66" s="56"/>
      <c r="D66" s="60" t="n">
        <f aca="false">'Input Data'!G70</f>
        <v>0</v>
      </c>
      <c r="E66" s="61" t="n">
        <f aca="false">ROUND(PRELIM!AA66,0)</f>
        <v>50</v>
      </c>
      <c r="F66" s="61"/>
      <c r="G66" s="61"/>
      <c r="H66" s="61"/>
      <c r="I66" s="61"/>
      <c r="J66" s="61"/>
      <c r="K66" s="61"/>
      <c r="L66" s="61"/>
      <c r="M66" s="61" t="n">
        <f aca="false">ROUND(MIDTERM!AA66,0)</f>
        <v>50</v>
      </c>
      <c r="N66" s="61"/>
      <c r="O66" s="61"/>
      <c r="P66" s="61"/>
      <c r="Q66" s="61"/>
      <c r="R66" s="61"/>
      <c r="S66" s="61" t="n">
        <f aca="false">ROUND(ENDTERM!AA66,0)</f>
        <v>50</v>
      </c>
      <c r="T66" s="61"/>
      <c r="U66" s="61"/>
      <c r="V66" s="62" t="n">
        <f aca="false">(E66*0.3)+(M66*0.3)+(S66*0.4)</f>
        <v>50</v>
      </c>
    </row>
    <row r="67" customFormat="false" ht="15" hidden="false" customHeight="false" outlineLevel="0" collapsed="false">
      <c r="A67" s="43" t="str">
        <f aca="false">'Input Data'!B71</f>
        <v/>
      </c>
      <c r="B67" s="56" t="n">
        <f aca="false">'Input Data'!C71</f>
        <v>0</v>
      </c>
      <c r="C67" s="56"/>
      <c r="D67" s="60" t="n">
        <f aca="false">'Input Data'!G71</f>
        <v>0</v>
      </c>
      <c r="E67" s="61" t="n">
        <f aca="false">ROUND(PRELIM!AA67,0)</f>
        <v>50</v>
      </c>
      <c r="F67" s="61"/>
      <c r="G67" s="61"/>
      <c r="H67" s="61"/>
      <c r="I67" s="61"/>
      <c r="J67" s="61"/>
      <c r="K67" s="61"/>
      <c r="L67" s="61"/>
      <c r="M67" s="61" t="n">
        <f aca="false">ROUND(MIDTERM!AA67,0)</f>
        <v>50</v>
      </c>
      <c r="N67" s="61"/>
      <c r="O67" s="61"/>
      <c r="P67" s="61"/>
      <c r="Q67" s="61"/>
      <c r="R67" s="61"/>
      <c r="S67" s="61" t="n">
        <f aca="false">ROUND(ENDTERM!AA67,0)</f>
        <v>50</v>
      </c>
      <c r="T67" s="61"/>
      <c r="U67" s="61"/>
      <c r="V67" s="62" t="n">
        <f aca="false">(E67*0.3)+(M67*0.3)+(S67*0.4)</f>
        <v>50</v>
      </c>
    </row>
    <row r="68" customFormat="false" ht="15" hidden="false" customHeight="false" outlineLevel="0" collapsed="false">
      <c r="A68" s="43" t="str">
        <f aca="false">'Input Data'!B72</f>
        <v/>
      </c>
      <c r="B68" s="56" t="n">
        <f aca="false">'Input Data'!C72</f>
        <v>0</v>
      </c>
      <c r="C68" s="56"/>
      <c r="D68" s="60" t="n">
        <f aca="false">'Input Data'!G72</f>
        <v>0</v>
      </c>
      <c r="E68" s="61" t="n">
        <f aca="false">ROUND(PRELIM!AA68,0)</f>
        <v>50</v>
      </c>
      <c r="F68" s="61"/>
      <c r="G68" s="61"/>
      <c r="H68" s="61"/>
      <c r="I68" s="61"/>
      <c r="J68" s="61"/>
      <c r="K68" s="61"/>
      <c r="L68" s="61"/>
      <c r="M68" s="61" t="n">
        <f aca="false">ROUND(MIDTERM!AA68,0)</f>
        <v>50</v>
      </c>
      <c r="N68" s="61"/>
      <c r="O68" s="61"/>
      <c r="P68" s="61"/>
      <c r="Q68" s="61"/>
      <c r="R68" s="61"/>
      <c r="S68" s="61" t="n">
        <f aca="false">ROUND(ENDTERM!AA68,0)</f>
        <v>50</v>
      </c>
      <c r="T68" s="61"/>
      <c r="U68" s="61"/>
      <c r="V68" s="62" t="n">
        <f aca="false">(E68*0.3)+(M68*0.3)+(S68*0.4)</f>
        <v>50</v>
      </c>
    </row>
    <row r="69" customFormat="false" ht="15" hidden="false" customHeight="false" outlineLevel="0" collapsed="false">
      <c r="A69" s="43" t="str">
        <f aca="false">'Input Data'!B73</f>
        <v/>
      </c>
      <c r="B69" s="56" t="n">
        <f aca="false">'Input Data'!C73</f>
        <v>0</v>
      </c>
      <c r="C69" s="56"/>
      <c r="D69" s="60" t="n">
        <f aca="false">'Input Data'!G73</f>
        <v>0</v>
      </c>
      <c r="E69" s="61" t="n">
        <f aca="false">ROUND(PRELIM!AA69,0)</f>
        <v>50</v>
      </c>
      <c r="F69" s="61"/>
      <c r="G69" s="61"/>
      <c r="H69" s="61"/>
      <c r="I69" s="61"/>
      <c r="J69" s="61"/>
      <c r="K69" s="61"/>
      <c r="L69" s="61"/>
      <c r="M69" s="61" t="n">
        <f aca="false">ROUND(MIDTERM!AA69,0)</f>
        <v>50</v>
      </c>
      <c r="N69" s="61"/>
      <c r="O69" s="61"/>
      <c r="P69" s="61"/>
      <c r="Q69" s="61"/>
      <c r="R69" s="61"/>
      <c r="S69" s="61" t="n">
        <f aca="false">ROUND(ENDTERM!AA69,0)</f>
        <v>50</v>
      </c>
      <c r="T69" s="61"/>
      <c r="U69" s="61"/>
      <c r="V69" s="62" t="n">
        <f aca="false">(E69*0.3)+(M69*0.3)+(S69*0.4)</f>
        <v>50</v>
      </c>
    </row>
    <row r="70" customFormat="false" ht="15" hidden="false" customHeight="false" outlineLevel="0" collapsed="false">
      <c r="A70" s="43" t="str">
        <f aca="false">'Input Data'!B74</f>
        <v/>
      </c>
      <c r="B70" s="56" t="n">
        <f aca="false">'Input Data'!C74</f>
        <v>0</v>
      </c>
      <c r="C70" s="56"/>
      <c r="D70" s="60" t="n">
        <f aca="false">'Input Data'!G74</f>
        <v>0</v>
      </c>
      <c r="E70" s="61" t="n">
        <f aca="false">ROUND(PRELIM!AA70,0)</f>
        <v>50</v>
      </c>
      <c r="F70" s="61"/>
      <c r="G70" s="61"/>
      <c r="H70" s="61"/>
      <c r="I70" s="61"/>
      <c r="J70" s="61"/>
      <c r="K70" s="61"/>
      <c r="L70" s="61"/>
      <c r="M70" s="61" t="n">
        <f aca="false">ROUND(MIDTERM!AA70,0)</f>
        <v>50</v>
      </c>
      <c r="N70" s="61"/>
      <c r="O70" s="61"/>
      <c r="P70" s="61"/>
      <c r="Q70" s="61"/>
      <c r="R70" s="61"/>
      <c r="S70" s="61" t="n">
        <f aca="false">ROUND(ENDTERM!AA70,0)</f>
        <v>50</v>
      </c>
      <c r="T70" s="61"/>
      <c r="U70" s="61"/>
      <c r="V70" s="62" t="n">
        <f aca="false">(E70*0.3)+(M70*0.3)+(S70*0.4)</f>
        <v>50</v>
      </c>
    </row>
    <row r="71" customFormat="false" ht="15" hidden="true" customHeight="false" outlineLevel="0" collapsed="false">
      <c r="A71" s="43" t="str">
        <f aca="false">'Input Data'!B75</f>
        <v/>
      </c>
      <c r="B71" s="56" t="n">
        <f aca="false">'Input Data'!C75</f>
        <v>0</v>
      </c>
      <c r="C71" s="56"/>
      <c r="D71" s="60" t="n">
        <f aca="false">'Input Data'!G75</f>
        <v>0</v>
      </c>
      <c r="E71" s="61" t="n">
        <f aca="false">PRELIM!AA71</f>
        <v>50</v>
      </c>
      <c r="F71" s="61"/>
      <c r="G71" s="61"/>
      <c r="H71" s="61"/>
      <c r="I71" s="61"/>
      <c r="J71" s="61"/>
      <c r="K71" s="61"/>
      <c r="L71" s="61"/>
      <c r="M71" s="61" t="n">
        <f aca="false">MIDTERM!AA71</f>
        <v>50</v>
      </c>
      <c r="N71" s="61"/>
      <c r="O71" s="61"/>
      <c r="P71" s="61"/>
      <c r="Q71" s="61"/>
      <c r="R71" s="61"/>
      <c r="S71" s="61" t="n">
        <f aca="false">ENDTERM!AA71</f>
        <v>50</v>
      </c>
      <c r="T71" s="61"/>
      <c r="U71" s="61"/>
      <c r="V71" s="62" t="n">
        <f aca="false">(E71*0.3)+(M71*0.3)+(S71*0.4)</f>
        <v>50</v>
      </c>
    </row>
    <row r="72" customFormat="false" ht="15" hidden="true" customHeight="false" outlineLevel="0" collapsed="false">
      <c r="A72" s="43" t="str">
        <f aca="false">'Input Data'!B76</f>
        <v/>
      </c>
      <c r="B72" s="56" t="n">
        <f aca="false">'Input Data'!C76</f>
        <v>0</v>
      </c>
      <c r="C72" s="56"/>
      <c r="D72" s="60" t="n">
        <f aca="false">'Input Data'!G76</f>
        <v>0</v>
      </c>
      <c r="E72" s="61" t="n">
        <f aca="false">PRELIM!AA72</f>
        <v>50</v>
      </c>
      <c r="F72" s="61"/>
      <c r="G72" s="61"/>
      <c r="H72" s="61"/>
      <c r="I72" s="61"/>
      <c r="J72" s="61"/>
      <c r="K72" s="61"/>
      <c r="L72" s="61"/>
      <c r="M72" s="61" t="n">
        <f aca="false">MIDTERM!AA72</f>
        <v>50</v>
      </c>
      <c r="N72" s="61"/>
      <c r="O72" s="61"/>
      <c r="P72" s="61"/>
      <c r="Q72" s="61"/>
      <c r="R72" s="61"/>
      <c r="S72" s="61" t="n">
        <f aca="false">ENDTERM!AA72</f>
        <v>50</v>
      </c>
      <c r="T72" s="61"/>
      <c r="U72" s="61"/>
      <c r="V72" s="62" t="n">
        <f aca="false">(E72*0.3)+(M72*0.3)+(S72*0.4)</f>
        <v>50</v>
      </c>
    </row>
    <row r="73" customFormat="false" ht="15" hidden="true" customHeight="false" outlineLevel="0" collapsed="false">
      <c r="A73" s="43" t="str">
        <f aca="false">'Input Data'!B77</f>
        <v/>
      </c>
      <c r="B73" s="56" t="n">
        <f aca="false">'Input Data'!C77</f>
        <v>0</v>
      </c>
      <c r="C73" s="56"/>
      <c r="D73" s="60" t="n">
        <f aca="false">'Input Data'!G77</f>
        <v>0</v>
      </c>
      <c r="E73" s="61" t="n">
        <f aca="false">PRELIM!AA73</f>
        <v>50</v>
      </c>
      <c r="F73" s="61"/>
      <c r="G73" s="61"/>
      <c r="H73" s="61"/>
      <c r="I73" s="61"/>
      <c r="J73" s="61"/>
      <c r="K73" s="61"/>
      <c r="L73" s="61"/>
      <c r="M73" s="61" t="n">
        <f aca="false">MIDTERM!AA73</f>
        <v>50</v>
      </c>
      <c r="N73" s="61"/>
      <c r="O73" s="61"/>
      <c r="P73" s="61"/>
      <c r="Q73" s="61"/>
      <c r="R73" s="61"/>
      <c r="S73" s="61" t="n">
        <f aca="false">ENDTERM!AA73</f>
        <v>50</v>
      </c>
      <c r="T73" s="61"/>
      <c r="U73" s="61"/>
      <c r="V73" s="62" t="n">
        <f aca="false">(E73*0.3)+(M73*0.3)+(S73*0.4)</f>
        <v>50</v>
      </c>
    </row>
    <row r="74" customFormat="false" ht="15" hidden="true" customHeight="false" outlineLevel="0" collapsed="false">
      <c r="A74" s="43" t="str">
        <f aca="false">'Input Data'!B78</f>
        <v/>
      </c>
      <c r="B74" s="56" t="n">
        <f aca="false">'Input Data'!C78</f>
        <v>0</v>
      </c>
      <c r="C74" s="56"/>
      <c r="D74" s="60" t="n">
        <f aca="false">'Input Data'!G78</f>
        <v>0</v>
      </c>
      <c r="E74" s="61" t="n">
        <f aca="false">PRELIM!AA74</f>
        <v>50</v>
      </c>
      <c r="F74" s="61"/>
      <c r="G74" s="61"/>
      <c r="H74" s="61"/>
      <c r="I74" s="61"/>
      <c r="J74" s="61"/>
      <c r="K74" s="61"/>
      <c r="L74" s="61"/>
      <c r="M74" s="61" t="n">
        <f aca="false">MIDTERM!AA74</f>
        <v>50</v>
      </c>
      <c r="N74" s="61"/>
      <c r="O74" s="61"/>
      <c r="P74" s="61"/>
      <c r="Q74" s="61"/>
      <c r="R74" s="61"/>
      <c r="S74" s="61" t="n">
        <f aca="false">ENDTERM!AA74</f>
        <v>50</v>
      </c>
      <c r="T74" s="61"/>
      <c r="U74" s="61"/>
      <c r="V74" s="62" t="n">
        <f aca="false">(E74*0.3)+(M74*0.3)+(S74*0.4)</f>
        <v>50</v>
      </c>
    </row>
    <row r="75" customFormat="false" ht="15" hidden="true" customHeight="false" outlineLevel="0" collapsed="false">
      <c r="A75" s="43" t="str">
        <f aca="false">'Input Data'!B79</f>
        <v/>
      </c>
      <c r="B75" s="56" t="n">
        <f aca="false">'Input Data'!C79</f>
        <v>0</v>
      </c>
      <c r="C75" s="56"/>
      <c r="D75" s="60" t="n">
        <f aca="false">'Input Data'!G79</f>
        <v>0</v>
      </c>
      <c r="E75" s="61" t="n">
        <f aca="false">PRELIM!AA75</f>
        <v>50</v>
      </c>
      <c r="F75" s="61"/>
      <c r="G75" s="61"/>
      <c r="H75" s="61"/>
      <c r="I75" s="61"/>
      <c r="J75" s="61"/>
      <c r="K75" s="61"/>
      <c r="L75" s="61"/>
      <c r="M75" s="61" t="n">
        <f aca="false">MIDTERM!AA75</f>
        <v>50</v>
      </c>
      <c r="N75" s="61"/>
      <c r="O75" s="61"/>
      <c r="P75" s="61"/>
      <c r="Q75" s="61"/>
      <c r="R75" s="61"/>
      <c r="S75" s="61" t="n">
        <f aca="false">ENDTERM!AA75</f>
        <v>50</v>
      </c>
      <c r="T75" s="61"/>
      <c r="U75" s="61"/>
      <c r="V75" s="62" t="n">
        <f aca="false">(E75*0.3)+(M75*0.3)+(S75*0.4)</f>
        <v>50</v>
      </c>
    </row>
    <row r="76" customFormat="false" ht="15" hidden="true" customHeight="false" outlineLevel="0" collapsed="false">
      <c r="A76" s="43" t="n">
        <f aca="false">'Input Data'!B80</f>
        <v>0</v>
      </c>
      <c r="B76" s="56" t="n">
        <f aca="false">'Input Data'!C80</f>
        <v>0</v>
      </c>
      <c r="C76" s="56"/>
      <c r="D76" s="60" t="n">
        <f aca="false">'Input Data'!G80</f>
        <v>0</v>
      </c>
      <c r="E76" s="61" t="n">
        <f aca="false">PRELIM!AA76</f>
        <v>50</v>
      </c>
      <c r="F76" s="61"/>
      <c r="G76" s="61"/>
      <c r="H76" s="61"/>
      <c r="I76" s="61"/>
      <c r="J76" s="61"/>
      <c r="K76" s="61"/>
      <c r="L76" s="61"/>
      <c r="M76" s="61" t="n">
        <f aca="false">MIDTERM!AA76</f>
        <v>50</v>
      </c>
      <c r="N76" s="61"/>
      <c r="O76" s="61"/>
      <c r="P76" s="61"/>
      <c r="Q76" s="61"/>
      <c r="R76" s="61"/>
      <c r="S76" s="61" t="n">
        <f aca="false">ENDTERM!AA76</f>
        <v>50</v>
      </c>
      <c r="T76" s="61"/>
      <c r="U76" s="61"/>
      <c r="V76" s="62" t="n">
        <f aca="false">(E76*0.3)+(M76*0.3)+(S76*0.4)</f>
        <v>50</v>
      </c>
    </row>
    <row r="77" customFormat="false" ht="15" hidden="true" customHeight="false" outlineLevel="0" collapsed="false">
      <c r="A77" s="43" t="n">
        <f aca="false">'Input Data'!B81</f>
        <v>0</v>
      </c>
      <c r="B77" s="56" t="n">
        <f aca="false">'Input Data'!C81</f>
        <v>0</v>
      </c>
      <c r="C77" s="56"/>
      <c r="D77" s="60" t="n">
        <f aca="false">'Input Data'!G81</f>
        <v>0</v>
      </c>
      <c r="E77" s="61" t="n">
        <f aca="false">PRELIM!AA77</f>
        <v>50</v>
      </c>
      <c r="F77" s="61"/>
      <c r="G77" s="61"/>
      <c r="H77" s="61"/>
      <c r="I77" s="61"/>
      <c r="J77" s="61"/>
      <c r="K77" s="61"/>
      <c r="L77" s="61"/>
      <c r="M77" s="61" t="n">
        <f aca="false">MIDTERM!AA77</f>
        <v>50</v>
      </c>
      <c r="N77" s="61"/>
      <c r="O77" s="61"/>
      <c r="P77" s="61"/>
      <c r="Q77" s="61"/>
      <c r="R77" s="61"/>
      <c r="S77" s="61" t="n">
        <f aca="false">ENDTERM!AA77</f>
        <v>50</v>
      </c>
      <c r="T77" s="61"/>
      <c r="U77" s="61"/>
      <c r="V77" s="62" t="n">
        <f aca="false">(E77*0.3)+(M77*0.3)+(S77*0.4)</f>
        <v>50</v>
      </c>
    </row>
    <row r="78" customFormat="false" ht="15" hidden="false" customHeight="false" outlineLevel="0" collapsed="false">
      <c r="A78" s="13"/>
      <c r="B78" s="63"/>
      <c r="C78" s="63"/>
      <c r="D78" s="63"/>
      <c r="E78" s="64"/>
      <c r="F78" s="64"/>
      <c r="G78" s="64"/>
      <c r="H78" s="64"/>
      <c r="I78" s="64"/>
      <c r="J78" s="64"/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5"/>
    </row>
    <row r="79" customFormat="false" ht="15" hidden="false" customHeight="false" outlineLevel="0" collapsed="false">
      <c r="A79" s="13"/>
      <c r="B79" s="63"/>
      <c r="C79" s="63"/>
      <c r="D79" s="63"/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5"/>
    </row>
    <row r="80" customFormat="false" ht="15" hidden="false" customHeight="false" outlineLevel="0" collapsed="false">
      <c r="A80" s="13"/>
      <c r="B80" s="63"/>
      <c r="C80" s="63"/>
      <c r="D80" s="63"/>
      <c r="E80" s="64"/>
      <c r="F80" s="64"/>
      <c r="G80" s="64"/>
      <c r="H80" s="64"/>
      <c r="I80" s="64"/>
      <c r="J80" s="64"/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5"/>
    </row>
    <row r="81" customFormat="false" ht="17.35" hidden="false" customHeight="false" outlineLevel="0" collapsed="false">
      <c r="C81" s="66" t="str">
        <f aca="false">'Input Data'!D17</f>
        <v>Glenn Magada Azuelo</v>
      </c>
      <c r="D81" s="66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  <c r="P81" s="66"/>
      <c r="Q81" s="66"/>
      <c r="R81" s="66"/>
    </row>
    <row r="82" customFormat="false" ht="15" hidden="false" customHeight="false" outlineLevel="0" collapsed="false">
      <c r="C82" s="67" t="s">
        <v>100</v>
      </c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</row>
  </sheetData>
  <sheetProtection sheet="true" formatColumns="false" formatRows="false"/>
  <mergeCells count="271">
    <mergeCell ref="A1:V1"/>
    <mergeCell ref="A2:V2"/>
    <mergeCell ref="A3:V3"/>
    <mergeCell ref="A5:V5"/>
    <mergeCell ref="A7:B7"/>
    <mergeCell ref="C7:I7"/>
    <mergeCell ref="P7:R7"/>
    <mergeCell ref="S7:U7"/>
    <mergeCell ref="A9:B9"/>
    <mergeCell ref="C9:I9"/>
    <mergeCell ref="P9:R9"/>
    <mergeCell ref="S9:U9"/>
    <mergeCell ref="A11:B11"/>
    <mergeCell ref="C11:N11"/>
    <mergeCell ref="A13:A15"/>
    <mergeCell ref="B13:C15"/>
    <mergeCell ref="D13:D15"/>
    <mergeCell ref="E13:L15"/>
    <mergeCell ref="M13:R15"/>
    <mergeCell ref="S13:U15"/>
    <mergeCell ref="V13:V15"/>
    <mergeCell ref="B16:C16"/>
    <mergeCell ref="E16:L16"/>
    <mergeCell ref="M16:R16"/>
    <mergeCell ref="S16:U16"/>
    <mergeCell ref="B17:C17"/>
    <mergeCell ref="E17:L17"/>
    <mergeCell ref="M17:R17"/>
    <mergeCell ref="S17:U17"/>
    <mergeCell ref="B18:C18"/>
    <mergeCell ref="E18:L18"/>
    <mergeCell ref="M18:R18"/>
    <mergeCell ref="S18:U18"/>
    <mergeCell ref="B19:C19"/>
    <mergeCell ref="E19:L19"/>
    <mergeCell ref="M19:R19"/>
    <mergeCell ref="S19:U19"/>
    <mergeCell ref="B20:C20"/>
    <mergeCell ref="E20:L20"/>
    <mergeCell ref="M20:R20"/>
    <mergeCell ref="S20:U20"/>
    <mergeCell ref="B21:C21"/>
    <mergeCell ref="E21:L21"/>
    <mergeCell ref="M21:R21"/>
    <mergeCell ref="S21:U21"/>
    <mergeCell ref="B22:C22"/>
    <mergeCell ref="E22:L22"/>
    <mergeCell ref="M22:R22"/>
    <mergeCell ref="S22:U22"/>
    <mergeCell ref="B23:C23"/>
    <mergeCell ref="E23:L23"/>
    <mergeCell ref="M23:R23"/>
    <mergeCell ref="S23:U23"/>
    <mergeCell ref="B24:C24"/>
    <mergeCell ref="E24:L24"/>
    <mergeCell ref="M24:R24"/>
    <mergeCell ref="S24:U24"/>
    <mergeCell ref="B25:C25"/>
    <mergeCell ref="E25:L25"/>
    <mergeCell ref="M25:R25"/>
    <mergeCell ref="S25:U25"/>
    <mergeCell ref="B26:C26"/>
    <mergeCell ref="E26:L26"/>
    <mergeCell ref="M26:R26"/>
    <mergeCell ref="S26:U26"/>
    <mergeCell ref="B27:C27"/>
    <mergeCell ref="E27:L27"/>
    <mergeCell ref="M27:R27"/>
    <mergeCell ref="S27:U27"/>
    <mergeCell ref="B28:C28"/>
    <mergeCell ref="E28:L28"/>
    <mergeCell ref="M28:R28"/>
    <mergeCell ref="S28:U28"/>
    <mergeCell ref="B29:C29"/>
    <mergeCell ref="E29:L29"/>
    <mergeCell ref="M29:R29"/>
    <mergeCell ref="S29:U29"/>
    <mergeCell ref="B30:C30"/>
    <mergeCell ref="E30:L30"/>
    <mergeCell ref="M30:R30"/>
    <mergeCell ref="S30:U30"/>
    <mergeCell ref="B31:C31"/>
    <mergeCell ref="E31:L31"/>
    <mergeCell ref="M31:R31"/>
    <mergeCell ref="S31:U31"/>
    <mergeCell ref="B32:C32"/>
    <mergeCell ref="E32:L32"/>
    <mergeCell ref="M32:R32"/>
    <mergeCell ref="S32:U32"/>
    <mergeCell ref="B33:C33"/>
    <mergeCell ref="E33:L33"/>
    <mergeCell ref="M33:R33"/>
    <mergeCell ref="S33:U33"/>
    <mergeCell ref="B34:C34"/>
    <mergeCell ref="E34:L34"/>
    <mergeCell ref="M34:R34"/>
    <mergeCell ref="S34:U34"/>
    <mergeCell ref="B35:C35"/>
    <mergeCell ref="E35:L35"/>
    <mergeCell ref="M35:R35"/>
    <mergeCell ref="S35:U35"/>
    <mergeCell ref="B36:C36"/>
    <mergeCell ref="E36:L36"/>
    <mergeCell ref="M36:R36"/>
    <mergeCell ref="S36:U36"/>
    <mergeCell ref="B37:C37"/>
    <mergeCell ref="E37:L37"/>
    <mergeCell ref="M37:R37"/>
    <mergeCell ref="S37:U37"/>
    <mergeCell ref="B38:C38"/>
    <mergeCell ref="E38:L38"/>
    <mergeCell ref="M38:R38"/>
    <mergeCell ref="S38:U38"/>
    <mergeCell ref="B39:C39"/>
    <mergeCell ref="E39:L39"/>
    <mergeCell ref="M39:R39"/>
    <mergeCell ref="S39:U39"/>
    <mergeCell ref="B40:C40"/>
    <mergeCell ref="E40:L40"/>
    <mergeCell ref="M40:R40"/>
    <mergeCell ref="S40:U40"/>
    <mergeCell ref="B41:C41"/>
    <mergeCell ref="E41:L41"/>
    <mergeCell ref="M41:R41"/>
    <mergeCell ref="S41:U41"/>
    <mergeCell ref="B42:C42"/>
    <mergeCell ref="E42:L42"/>
    <mergeCell ref="M42:R42"/>
    <mergeCell ref="S42:U42"/>
    <mergeCell ref="B43:C43"/>
    <mergeCell ref="E43:L43"/>
    <mergeCell ref="M43:R43"/>
    <mergeCell ref="S43:U43"/>
    <mergeCell ref="B44:C44"/>
    <mergeCell ref="E44:L44"/>
    <mergeCell ref="M44:R44"/>
    <mergeCell ref="S44:U44"/>
    <mergeCell ref="B45:C45"/>
    <mergeCell ref="E45:L45"/>
    <mergeCell ref="M45:R45"/>
    <mergeCell ref="S45:U45"/>
    <mergeCell ref="B46:C46"/>
    <mergeCell ref="E46:L46"/>
    <mergeCell ref="M46:R46"/>
    <mergeCell ref="S46:U46"/>
    <mergeCell ref="B47:C47"/>
    <mergeCell ref="E47:L47"/>
    <mergeCell ref="M47:R47"/>
    <mergeCell ref="S47:U47"/>
    <mergeCell ref="B48:C48"/>
    <mergeCell ref="E48:L48"/>
    <mergeCell ref="M48:R48"/>
    <mergeCell ref="S48:U48"/>
    <mergeCell ref="B49:C49"/>
    <mergeCell ref="E49:L49"/>
    <mergeCell ref="M49:R49"/>
    <mergeCell ref="S49:U49"/>
    <mergeCell ref="B50:C50"/>
    <mergeCell ref="E50:L50"/>
    <mergeCell ref="M50:R50"/>
    <mergeCell ref="S50:U50"/>
    <mergeCell ref="B51:C51"/>
    <mergeCell ref="E51:L51"/>
    <mergeCell ref="M51:R51"/>
    <mergeCell ref="S51:U51"/>
    <mergeCell ref="B52:C52"/>
    <mergeCell ref="E52:L52"/>
    <mergeCell ref="M52:R52"/>
    <mergeCell ref="S52:U52"/>
    <mergeCell ref="B53:C53"/>
    <mergeCell ref="E53:L53"/>
    <mergeCell ref="M53:R53"/>
    <mergeCell ref="S53:U53"/>
    <mergeCell ref="B54:C54"/>
    <mergeCell ref="E54:L54"/>
    <mergeCell ref="M54:R54"/>
    <mergeCell ref="S54:U54"/>
    <mergeCell ref="B55:C55"/>
    <mergeCell ref="E55:L55"/>
    <mergeCell ref="M55:R55"/>
    <mergeCell ref="S55:U55"/>
    <mergeCell ref="B56:C56"/>
    <mergeCell ref="E56:L56"/>
    <mergeCell ref="M56:R56"/>
    <mergeCell ref="S56:U56"/>
    <mergeCell ref="B57:C57"/>
    <mergeCell ref="E57:L57"/>
    <mergeCell ref="M57:R57"/>
    <mergeCell ref="S57:U57"/>
    <mergeCell ref="B58:C58"/>
    <mergeCell ref="E58:L58"/>
    <mergeCell ref="M58:R58"/>
    <mergeCell ref="S58:U58"/>
    <mergeCell ref="B59:C59"/>
    <mergeCell ref="E59:L59"/>
    <mergeCell ref="M59:R59"/>
    <mergeCell ref="S59:U59"/>
    <mergeCell ref="B60:C60"/>
    <mergeCell ref="E60:L60"/>
    <mergeCell ref="M60:R60"/>
    <mergeCell ref="S60:U60"/>
    <mergeCell ref="B61:C61"/>
    <mergeCell ref="E61:L61"/>
    <mergeCell ref="M61:R61"/>
    <mergeCell ref="S61:U61"/>
    <mergeCell ref="B62:C62"/>
    <mergeCell ref="E62:L62"/>
    <mergeCell ref="M62:R62"/>
    <mergeCell ref="S62:U62"/>
    <mergeCell ref="B63:C63"/>
    <mergeCell ref="E63:L63"/>
    <mergeCell ref="M63:R63"/>
    <mergeCell ref="S63:U63"/>
    <mergeCell ref="B64:C64"/>
    <mergeCell ref="E64:L64"/>
    <mergeCell ref="M64:R64"/>
    <mergeCell ref="S64:U64"/>
    <mergeCell ref="B65:C65"/>
    <mergeCell ref="E65:L65"/>
    <mergeCell ref="M65:R65"/>
    <mergeCell ref="S65:U65"/>
    <mergeCell ref="B66:C66"/>
    <mergeCell ref="E66:L66"/>
    <mergeCell ref="M66:R66"/>
    <mergeCell ref="S66:U66"/>
    <mergeCell ref="B67:C67"/>
    <mergeCell ref="E67:L67"/>
    <mergeCell ref="M67:R67"/>
    <mergeCell ref="S67:U67"/>
    <mergeCell ref="B68:C68"/>
    <mergeCell ref="E68:L68"/>
    <mergeCell ref="M68:R68"/>
    <mergeCell ref="S68:U68"/>
    <mergeCell ref="B69:C69"/>
    <mergeCell ref="E69:L69"/>
    <mergeCell ref="M69:R69"/>
    <mergeCell ref="S69:U69"/>
    <mergeCell ref="B70:C70"/>
    <mergeCell ref="E70:L70"/>
    <mergeCell ref="M70:R70"/>
    <mergeCell ref="S70:U70"/>
    <mergeCell ref="B71:C71"/>
    <mergeCell ref="E71:L71"/>
    <mergeCell ref="M71:R71"/>
    <mergeCell ref="S71:U71"/>
    <mergeCell ref="B72:C72"/>
    <mergeCell ref="E72:L72"/>
    <mergeCell ref="M72:R72"/>
    <mergeCell ref="S72:U72"/>
    <mergeCell ref="B73:C73"/>
    <mergeCell ref="E73:L73"/>
    <mergeCell ref="M73:R73"/>
    <mergeCell ref="S73:U73"/>
    <mergeCell ref="B74:C74"/>
    <mergeCell ref="E74:L74"/>
    <mergeCell ref="M74:R74"/>
    <mergeCell ref="S74:U74"/>
    <mergeCell ref="B75:C75"/>
    <mergeCell ref="E75:L75"/>
    <mergeCell ref="M75:R75"/>
    <mergeCell ref="S75:U75"/>
    <mergeCell ref="B76:C76"/>
    <mergeCell ref="E76:L76"/>
    <mergeCell ref="M76:R76"/>
    <mergeCell ref="S76:U76"/>
    <mergeCell ref="B77:C77"/>
    <mergeCell ref="E77:L77"/>
    <mergeCell ref="M77:R77"/>
    <mergeCell ref="S77:U77"/>
    <mergeCell ref="C81:R81"/>
    <mergeCell ref="C82:R82"/>
  </mergeCells>
  <conditionalFormatting sqref="E16:V70">
    <cfRule type="cellIs" priority="2" operator="lessThan" aboveAverage="0" equalAverage="0" bottom="0" percent="0" rank="0" text="" dxfId="13">
      <formula>74.5</formula>
    </cfRule>
  </conditionalFormatting>
  <conditionalFormatting sqref="A16:V70">
    <cfRule type="expression" priority="3" aboveAverage="0" equalAverage="0" bottom="0" percent="0" rank="0" text="" dxfId="14">
      <formula>ROW()=CELL("ROW")</formula>
    </cfRule>
  </conditionalFormatting>
  <printOptions headings="false" gridLines="false" gridLinesSet="true" horizontalCentered="false" verticalCentered="false"/>
  <pageMargins left="1.1" right="0.25" top="0.429861111111111" bottom="0.690277777777778" header="0.511811023622047" footer="0.511811023622047"/>
  <pageSetup paperSize="1" scale="100" fitToWidth="0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4:T33"/>
  <sheetViews>
    <sheetView showFormulas="false" showGridLines="true" showRowColHeaders="true" showZeros="false" rightToLeft="false" tabSelected="false" showOutlineSymbols="true" defaultGridColor="true" view="normal" topLeftCell="A11" colorId="64" zoomScale="75" zoomScaleNormal="75" zoomScalePageLayoutView="100" workbookViewId="0">
      <selection pane="topLeft" activeCell="O23" activeCellId="0" sqref="O23"/>
    </sheetView>
  </sheetViews>
  <sheetFormatPr defaultColWidth="8.54296875" defaultRowHeight="15" customHeight="true" zeroHeight="false" outlineLevelRow="0" outlineLevelCol="0"/>
  <sheetData>
    <row r="4" customFormat="false" ht="15" hidden="false" customHeight="false" outlineLevel="0" collapsed="false">
      <c r="A4" s="1" t="n">
        <v>1</v>
      </c>
      <c r="B4" s="1" t="n">
        <v>71</v>
      </c>
      <c r="D4" s="1" t="n">
        <v>1</v>
      </c>
      <c r="E4" s="1" t="n">
        <v>71</v>
      </c>
      <c r="G4" s="1" t="n">
        <v>1</v>
      </c>
      <c r="H4" s="1" t="n">
        <v>71</v>
      </c>
      <c r="J4" s="1" t="n">
        <v>1</v>
      </c>
      <c r="K4" s="1" t="n">
        <v>71</v>
      </c>
      <c r="M4" s="1" t="n">
        <v>1</v>
      </c>
      <c r="N4" s="1" t="n">
        <v>71</v>
      </c>
      <c r="P4" s="1" t="n">
        <v>1</v>
      </c>
      <c r="Q4" s="1" t="n">
        <v>71</v>
      </c>
      <c r="S4" s="1" t="n">
        <v>1</v>
      </c>
      <c r="T4" s="1" t="n">
        <v>71</v>
      </c>
    </row>
    <row r="5" customFormat="false" ht="15" hidden="false" customHeight="false" outlineLevel="0" collapsed="false">
      <c r="A5" s="1" t="n">
        <v>6</v>
      </c>
      <c r="B5" s="1" t="n">
        <v>72</v>
      </c>
      <c r="D5" s="1" t="n">
        <v>8</v>
      </c>
      <c r="E5" s="1" t="n">
        <v>72</v>
      </c>
      <c r="G5" s="1" t="n">
        <v>9</v>
      </c>
      <c r="H5" s="1" t="n">
        <v>72</v>
      </c>
      <c r="J5" s="1" t="n">
        <v>10</v>
      </c>
      <c r="K5" s="1" t="n">
        <v>72</v>
      </c>
      <c r="M5" s="1" t="n">
        <v>10</v>
      </c>
      <c r="N5" s="1" t="n">
        <v>72</v>
      </c>
      <c r="P5" s="1" t="n">
        <v>11</v>
      </c>
      <c r="Q5" s="1" t="n">
        <v>72</v>
      </c>
      <c r="S5" s="1" t="n">
        <v>13</v>
      </c>
      <c r="T5" s="1" t="n">
        <v>72</v>
      </c>
    </row>
    <row r="6" customFormat="false" ht="15" hidden="false" customHeight="false" outlineLevel="0" collapsed="false">
      <c r="A6" s="1" t="n">
        <v>12</v>
      </c>
      <c r="B6" s="1" t="n">
        <v>73</v>
      </c>
      <c r="D6" s="1" t="n">
        <v>15</v>
      </c>
      <c r="E6" s="1" t="n">
        <v>73</v>
      </c>
      <c r="G6" s="1" t="n">
        <v>16</v>
      </c>
      <c r="H6" s="1" t="n">
        <v>73</v>
      </c>
      <c r="J6" s="1" t="n">
        <v>19</v>
      </c>
      <c r="K6" s="1" t="n">
        <v>73</v>
      </c>
      <c r="M6" s="1" t="n">
        <v>19</v>
      </c>
      <c r="N6" s="1" t="n">
        <v>73</v>
      </c>
      <c r="P6" s="1" t="n">
        <v>22</v>
      </c>
      <c r="Q6" s="1" t="n">
        <v>73</v>
      </c>
      <c r="S6" s="1" t="n">
        <v>25</v>
      </c>
      <c r="T6" s="1" t="n">
        <v>73</v>
      </c>
    </row>
    <row r="7" customFormat="false" ht="15" hidden="false" customHeight="false" outlineLevel="0" collapsed="false">
      <c r="A7" s="1" t="n">
        <v>18</v>
      </c>
      <c r="B7" s="1" t="n">
        <v>74</v>
      </c>
      <c r="D7" s="1" t="n">
        <v>22</v>
      </c>
      <c r="E7" s="1" t="n">
        <v>74</v>
      </c>
      <c r="G7" s="1" t="n">
        <v>25</v>
      </c>
      <c r="H7" s="1" t="n">
        <v>74</v>
      </c>
      <c r="J7" s="1" t="n">
        <v>28</v>
      </c>
      <c r="K7" s="1" t="n">
        <v>74</v>
      </c>
      <c r="M7" s="1" t="n">
        <v>29</v>
      </c>
      <c r="N7" s="1" t="n">
        <v>74</v>
      </c>
      <c r="P7" s="1" t="n">
        <v>33</v>
      </c>
      <c r="Q7" s="1" t="n">
        <v>74</v>
      </c>
      <c r="S7" s="1" t="n">
        <v>37</v>
      </c>
      <c r="T7" s="1" t="n">
        <v>74</v>
      </c>
    </row>
    <row r="8" customFormat="false" ht="15" hidden="false" customHeight="false" outlineLevel="0" collapsed="false">
      <c r="A8" s="1" t="n">
        <v>25</v>
      </c>
      <c r="B8" s="1" t="n">
        <v>75</v>
      </c>
      <c r="D8" s="1" t="n">
        <v>30</v>
      </c>
      <c r="E8" s="1" t="n">
        <v>75</v>
      </c>
      <c r="G8" s="1" t="n">
        <v>35</v>
      </c>
      <c r="H8" s="1" t="n">
        <v>75</v>
      </c>
      <c r="J8" s="1" t="n">
        <v>38</v>
      </c>
      <c r="K8" s="1" t="n">
        <v>75</v>
      </c>
      <c r="M8" s="1" t="n">
        <v>40</v>
      </c>
      <c r="N8" s="1" t="n">
        <v>75</v>
      </c>
      <c r="P8" s="1" t="n">
        <v>45</v>
      </c>
      <c r="Q8" s="1" t="n">
        <v>75</v>
      </c>
      <c r="S8" s="1" t="n">
        <v>50</v>
      </c>
      <c r="T8" s="1" t="n">
        <v>75</v>
      </c>
    </row>
    <row r="9" customFormat="false" ht="15" hidden="false" customHeight="false" outlineLevel="0" collapsed="false">
      <c r="A9" s="1" t="n">
        <v>26</v>
      </c>
      <c r="B9" s="1" t="n">
        <v>76</v>
      </c>
      <c r="D9" s="1" t="n">
        <v>33</v>
      </c>
      <c r="E9" s="1" t="n">
        <v>76</v>
      </c>
      <c r="G9" s="1" t="n">
        <v>36</v>
      </c>
      <c r="H9" s="1" t="n">
        <v>76</v>
      </c>
      <c r="J9" s="1" t="n">
        <v>39</v>
      </c>
      <c r="K9" s="1" t="n">
        <v>76</v>
      </c>
      <c r="M9" s="1" t="n">
        <v>41</v>
      </c>
      <c r="N9" s="1" t="n">
        <v>76</v>
      </c>
      <c r="P9" s="1" t="n">
        <v>46</v>
      </c>
      <c r="Q9" s="1" t="n">
        <v>76</v>
      </c>
      <c r="S9" s="1" t="n">
        <v>52</v>
      </c>
      <c r="T9" s="1" t="n">
        <v>76</v>
      </c>
    </row>
    <row r="10" customFormat="false" ht="15" hidden="false" customHeight="false" outlineLevel="0" collapsed="false">
      <c r="A10" s="1" t="n">
        <v>27</v>
      </c>
      <c r="B10" s="1" t="n">
        <v>77</v>
      </c>
      <c r="D10" s="1" t="n">
        <v>34</v>
      </c>
      <c r="E10" s="1" t="n">
        <v>77</v>
      </c>
      <c r="G10" s="1" t="n">
        <v>37</v>
      </c>
      <c r="H10" s="1" t="n">
        <v>77</v>
      </c>
      <c r="J10" s="1" t="n">
        <v>40</v>
      </c>
      <c r="K10" s="1" t="n">
        <v>77</v>
      </c>
      <c r="M10" s="1" t="n">
        <v>42</v>
      </c>
      <c r="N10" s="1" t="n">
        <v>77</v>
      </c>
      <c r="P10" s="1" t="n">
        <v>47</v>
      </c>
      <c r="Q10" s="1" t="n">
        <v>77</v>
      </c>
      <c r="S10" s="1" t="n">
        <v>54</v>
      </c>
      <c r="T10" s="1" t="n">
        <v>77</v>
      </c>
    </row>
    <row r="11" customFormat="false" ht="15" hidden="false" customHeight="false" outlineLevel="0" collapsed="false">
      <c r="A11" s="1" t="n">
        <v>28</v>
      </c>
      <c r="B11" s="1" t="n">
        <v>78</v>
      </c>
      <c r="D11" s="1" t="n">
        <v>36</v>
      </c>
      <c r="E11" s="1" t="n">
        <v>78</v>
      </c>
      <c r="G11" s="1" t="n">
        <v>38</v>
      </c>
      <c r="H11" s="1" t="n">
        <v>78</v>
      </c>
      <c r="J11" s="1" t="n">
        <v>41</v>
      </c>
      <c r="K11" s="1" t="n">
        <v>78</v>
      </c>
      <c r="M11" s="1" t="n">
        <v>43</v>
      </c>
      <c r="N11" s="1" t="n">
        <v>78</v>
      </c>
      <c r="P11" s="1" t="n">
        <v>48</v>
      </c>
      <c r="Q11" s="1" t="n">
        <v>78</v>
      </c>
      <c r="S11" s="1" t="n">
        <v>56</v>
      </c>
      <c r="T11" s="1" t="n">
        <v>78</v>
      </c>
    </row>
    <row r="12" customFormat="false" ht="15" hidden="false" customHeight="false" outlineLevel="0" collapsed="false">
      <c r="A12" s="1" t="n">
        <v>29</v>
      </c>
      <c r="B12" s="1" t="n">
        <v>79</v>
      </c>
      <c r="D12" s="1" t="n">
        <v>38</v>
      </c>
      <c r="E12" s="1" t="n">
        <v>79</v>
      </c>
      <c r="G12" s="1" t="n">
        <v>39</v>
      </c>
      <c r="H12" s="1" t="n">
        <v>79</v>
      </c>
      <c r="J12" s="1" t="n">
        <v>42</v>
      </c>
      <c r="K12" s="1" t="n">
        <v>79</v>
      </c>
      <c r="M12" s="1" t="n">
        <v>44</v>
      </c>
      <c r="N12" s="1" t="n">
        <v>79</v>
      </c>
      <c r="P12" s="1" t="n">
        <v>49</v>
      </c>
      <c r="Q12" s="1" t="n">
        <v>79</v>
      </c>
      <c r="S12" s="1" t="n">
        <v>58</v>
      </c>
      <c r="T12" s="1" t="n">
        <v>79</v>
      </c>
    </row>
    <row r="13" customFormat="false" ht="15" hidden="false" customHeight="false" outlineLevel="0" collapsed="false">
      <c r="A13" s="1" t="n">
        <v>30</v>
      </c>
      <c r="B13" s="1" t="n">
        <v>80</v>
      </c>
      <c r="D13" s="1" t="n">
        <v>40</v>
      </c>
      <c r="E13" s="1" t="n">
        <v>80</v>
      </c>
      <c r="G13" s="1" t="n">
        <v>40</v>
      </c>
      <c r="H13" s="1" t="n">
        <v>80</v>
      </c>
      <c r="J13" s="1" t="n">
        <v>43</v>
      </c>
      <c r="K13" s="1" t="n">
        <v>80</v>
      </c>
      <c r="M13" s="1" t="n">
        <v>45</v>
      </c>
      <c r="N13" s="1" t="n">
        <v>80</v>
      </c>
      <c r="P13" s="1" t="n">
        <v>50</v>
      </c>
      <c r="Q13" s="1" t="n">
        <v>80</v>
      </c>
      <c r="S13" s="1" t="n">
        <v>60</v>
      </c>
      <c r="T13" s="1" t="n">
        <v>80</v>
      </c>
    </row>
    <row r="14" customFormat="false" ht="15" hidden="false" customHeight="false" outlineLevel="0" collapsed="false">
      <c r="A14" s="1" t="n">
        <v>31</v>
      </c>
      <c r="B14" s="1" t="n">
        <v>81</v>
      </c>
      <c r="D14" s="1" t="n">
        <v>41</v>
      </c>
      <c r="E14" s="1" t="n">
        <v>81</v>
      </c>
      <c r="G14" s="1" t="n">
        <v>41</v>
      </c>
      <c r="H14" s="1" t="n">
        <v>81</v>
      </c>
      <c r="J14" s="1" t="n">
        <v>44</v>
      </c>
      <c r="K14" s="1" t="n">
        <v>81</v>
      </c>
      <c r="M14" s="1" t="n">
        <v>46</v>
      </c>
      <c r="N14" s="1" t="n">
        <v>81</v>
      </c>
      <c r="P14" s="1" t="n">
        <v>52</v>
      </c>
      <c r="Q14" s="1" t="n">
        <v>81</v>
      </c>
      <c r="S14" s="1" t="n">
        <v>62</v>
      </c>
      <c r="T14" s="1" t="n">
        <v>81</v>
      </c>
    </row>
    <row r="15" customFormat="false" ht="15" hidden="false" customHeight="false" outlineLevel="0" collapsed="false">
      <c r="A15" s="1" t="n">
        <v>32</v>
      </c>
      <c r="B15" s="1" t="n">
        <v>82</v>
      </c>
      <c r="D15" s="1" t="n">
        <v>42</v>
      </c>
      <c r="E15" s="1" t="n">
        <v>82</v>
      </c>
      <c r="G15" s="1" t="n">
        <v>42</v>
      </c>
      <c r="H15" s="1" t="n">
        <v>82</v>
      </c>
      <c r="J15" s="1" t="n">
        <v>45</v>
      </c>
      <c r="K15" s="1" t="n">
        <v>82</v>
      </c>
      <c r="M15" s="1" t="n">
        <v>47</v>
      </c>
      <c r="N15" s="1" t="n">
        <v>82</v>
      </c>
      <c r="P15" s="1" t="n">
        <v>54</v>
      </c>
      <c r="Q15" s="1" t="n">
        <v>82</v>
      </c>
      <c r="S15" s="1" t="n">
        <v>64</v>
      </c>
      <c r="T15" s="1" t="n">
        <v>82</v>
      </c>
    </row>
    <row r="16" customFormat="false" ht="15" hidden="false" customHeight="false" outlineLevel="0" collapsed="false">
      <c r="A16" s="1" t="n">
        <v>33</v>
      </c>
      <c r="B16" s="1" t="n">
        <v>83</v>
      </c>
      <c r="D16" s="1" t="n">
        <v>43</v>
      </c>
      <c r="E16" s="1" t="n">
        <v>83</v>
      </c>
      <c r="G16" s="1" t="n">
        <v>43</v>
      </c>
      <c r="H16" s="1" t="n">
        <v>83</v>
      </c>
      <c r="J16" s="1" t="n">
        <v>46</v>
      </c>
      <c r="K16" s="1" t="n">
        <v>83</v>
      </c>
      <c r="M16" s="1" t="n">
        <v>48</v>
      </c>
      <c r="N16" s="1" t="n">
        <v>83</v>
      </c>
      <c r="P16" s="1" t="n">
        <v>56</v>
      </c>
      <c r="Q16" s="1" t="n">
        <v>83</v>
      </c>
      <c r="S16" s="1" t="n">
        <v>66</v>
      </c>
      <c r="T16" s="1" t="n">
        <v>83</v>
      </c>
    </row>
    <row r="17" customFormat="false" ht="15" hidden="false" customHeight="false" outlineLevel="0" collapsed="false">
      <c r="A17" s="1" t="n">
        <v>34</v>
      </c>
      <c r="B17" s="1" t="n">
        <v>84</v>
      </c>
      <c r="D17" s="1" t="n">
        <v>44</v>
      </c>
      <c r="E17" s="1" t="n">
        <v>84</v>
      </c>
      <c r="G17" s="1" t="n">
        <v>44</v>
      </c>
      <c r="H17" s="1" t="n">
        <v>84</v>
      </c>
      <c r="J17" s="1" t="n">
        <v>47</v>
      </c>
      <c r="K17" s="1" t="n">
        <v>84</v>
      </c>
      <c r="M17" s="1" t="n">
        <v>49</v>
      </c>
      <c r="N17" s="1" t="n">
        <v>84</v>
      </c>
      <c r="P17" s="1" t="n">
        <v>58</v>
      </c>
      <c r="Q17" s="1" t="n">
        <v>84</v>
      </c>
      <c r="S17" s="1" t="n">
        <v>68</v>
      </c>
      <c r="T17" s="1" t="n">
        <v>84</v>
      </c>
    </row>
    <row r="18" customFormat="false" ht="15" hidden="false" customHeight="false" outlineLevel="0" collapsed="false">
      <c r="A18" s="1" t="n">
        <v>35</v>
      </c>
      <c r="B18" s="1" t="n">
        <v>85</v>
      </c>
      <c r="D18" s="1" t="n">
        <v>45</v>
      </c>
      <c r="E18" s="1" t="n">
        <v>85</v>
      </c>
      <c r="G18" s="1" t="n">
        <v>45</v>
      </c>
      <c r="H18" s="1" t="n">
        <v>85</v>
      </c>
      <c r="J18" s="1" t="n">
        <v>48</v>
      </c>
      <c r="K18" s="1" t="n">
        <v>85</v>
      </c>
      <c r="M18" s="1" t="n">
        <v>50</v>
      </c>
      <c r="N18" s="1" t="n">
        <v>85</v>
      </c>
      <c r="P18" s="1" t="n">
        <v>60</v>
      </c>
      <c r="Q18" s="1" t="n">
        <v>85</v>
      </c>
      <c r="S18" s="1" t="n">
        <v>70</v>
      </c>
      <c r="T18" s="1" t="n">
        <v>85</v>
      </c>
    </row>
    <row r="19" customFormat="false" ht="15" hidden="false" customHeight="false" outlineLevel="0" collapsed="false">
      <c r="A19" s="1" t="n">
        <v>36</v>
      </c>
      <c r="B19" s="1" t="n">
        <v>86</v>
      </c>
      <c r="D19" s="1" t="n">
        <v>46</v>
      </c>
      <c r="E19" s="1" t="n">
        <v>86</v>
      </c>
      <c r="G19" s="1" t="n">
        <v>46</v>
      </c>
      <c r="H19" s="1" t="n">
        <v>86</v>
      </c>
      <c r="J19" s="1" t="n">
        <v>49</v>
      </c>
      <c r="K19" s="1" t="n">
        <v>86</v>
      </c>
      <c r="M19" s="1" t="n">
        <v>52</v>
      </c>
      <c r="N19" s="1" t="n">
        <v>86</v>
      </c>
      <c r="P19" s="1" t="n">
        <v>62</v>
      </c>
      <c r="Q19" s="1" t="n">
        <v>86</v>
      </c>
      <c r="S19" s="1" t="n">
        <v>72</v>
      </c>
      <c r="T19" s="1" t="n">
        <v>86</v>
      </c>
    </row>
    <row r="20" customFormat="false" ht="15" hidden="false" customHeight="false" outlineLevel="0" collapsed="false">
      <c r="A20" s="1" t="n">
        <v>37</v>
      </c>
      <c r="B20" s="1" t="n">
        <v>87</v>
      </c>
      <c r="D20" s="1" t="n">
        <v>47</v>
      </c>
      <c r="E20" s="1" t="n">
        <v>87</v>
      </c>
      <c r="G20" s="1" t="n">
        <v>47</v>
      </c>
      <c r="H20" s="1" t="n">
        <v>87</v>
      </c>
      <c r="J20" s="1" t="n">
        <v>50</v>
      </c>
      <c r="K20" s="1" t="n">
        <v>87</v>
      </c>
      <c r="M20" s="1" t="n">
        <v>54</v>
      </c>
      <c r="N20" s="1" t="n">
        <v>87</v>
      </c>
      <c r="P20" s="1" t="n">
        <v>64</v>
      </c>
      <c r="Q20" s="1" t="n">
        <v>87</v>
      </c>
      <c r="S20" s="1" t="n">
        <v>74</v>
      </c>
      <c r="T20" s="1" t="n">
        <v>87</v>
      </c>
    </row>
    <row r="21" customFormat="false" ht="15" hidden="false" customHeight="false" outlineLevel="0" collapsed="false">
      <c r="A21" s="1" t="n">
        <v>38</v>
      </c>
      <c r="B21" s="1" t="n">
        <v>88</v>
      </c>
      <c r="D21" s="1" t="n">
        <v>48</v>
      </c>
      <c r="E21" s="1" t="n">
        <v>88</v>
      </c>
      <c r="G21" s="1" t="n">
        <v>48</v>
      </c>
      <c r="H21" s="1" t="n">
        <v>88</v>
      </c>
      <c r="J21" s="1" t="n">
        <v>51</v>
      </c>
      <c r="K21" s="1" t="n">
        <v>88</v>
      </c>
      <c r="M21" s="1" t="n">
        <v>56</v>
      </c>
      <c r="N21" s="1" t="n">
        <v>88</v>
      </c>
      <c r="P21" s="1" t="n">
        <v>66</v>
      </c>
      <c r="Q21" s="1" t="n">
        <v>88</v>
      </c>
      <c r="S21" s="1" t="n">
        <v>76</v>
      </c>
      <c r="T21" s="1" t="n">
        <v>88</v>
      </c>
    </row>
    <row r="22" customFormat="false" ht="15" hidden="false" customHeight="false" outlineLevel="0" collapsed="false">
      <c r="A22" s="1" t="n">
        <v>39</v>
      </c>
      <c r="B22" s="1" t="n">
        <v>89</v>
      </c>
      <c r="D22" s="1" t="n">
        <v>49</v>
      </c>
      <c r="E22" s="1" t="n">
        <v>89</v>
      </c>
      <c r="G22" s="1" t="n">
        <v>49</v>
      </c>
      <c r="H22" s="1" t="n">
        <v>89</v>
      </c>
      <c r="J22" s="1" t="n">
        <v>53</v>
      </c>
      <c r="K22" s="1" t="n">
        <v>89</v>
      </c>
      <c r="M22" s="1" t="n">
        <v>58</v>
      </c>
      <c r="N22" s="1" t="n">
        <v>89</v>
      </c>
      <c r="P22" s="1" t="n">
        <v>68</v>
      </c>
      <c r="Q22" s="1" t="n">
        <v>89</v>
      </c>
      <c r="S22" s="1" t="n">
        <v>78</v>
      </c>
      <c r="T22" s="1" t="n">
        <v>89</v>
      </c>
    </row>
    <row r="23" customFormat="false" ht="15" hidden="false" customHeight="false" outlineLevel="0" collapsed="false">
      <c r="A23" s="1" t="n">
        <v>40</v>
      </c>
      <c r="B23" s="1" t="n">
        <v>90</v>
      </c>
      <c r="D23" s="1" t="n">
        <v>50</v>
      </c>
      <c r="E23" s="1" t="n">
        <v>90</v>
      </c>
      <c r="G23" s="1" t="n">
        <v>50</v>
      </c>
      <c r="H23" s="1" t="n">
        <v>90</v>
      </c>
      <c r="J23" s="1" t="n">
        <v>55</v>
      </c>
      <c r="K23" s="1" t="n">
        <v>90</v>
      </c>
      <c r="M23" s="1" t="n">
        <v>60</v>
      </c>
      <c r="N23" s="1" t="n">
        <v>90</v>
      </c>
      <c r="P23" s="1" t="n">
        <v>70</v>
      </c>
      <c r="Q23" s="1" t="n">
        <v>90</v>
      </c>
      <c r="S23" s="1" t="n">
        <v>80</v>
      </c>
      <c r="T23" s="1" t="n">
        <v>90</v>
      </c>
    </row>
    <row r="24" customFormat="false" ht="15" hidden="false" customHeight="false" outlineLevel="0" collapsed="false">
      <c r="A24" s="1" t="n">
        <v>41</v>
      </c>
      <c r="B24" s="1" t="n">
        <v>91</v>
      </c>
      <c r="D24" s="1" t="n">
        <v>51</v>
      </c>
      <c r="E24" s="1" t="n">
        <v>91</v>
      </c>
      <c r="G24" s="1" t="n">
        <v>52</v>
      </c>
      <c r="H24" s="1" t="n">
        <v>91</v>
      </c>
      <c r="J24" s="1" t="n">
        <v>57</v>
      </c>
      <c r="K24" s="1" t="n">
        <v>91</v>
      </c>
      <c r="M24" s="1" t="n">
        <v>62</v>
      </c>
      <c r="N24" s="1" t="n">
        <v>91</v>
      </c>
      <c r="P24" s="1" t="n">
        <v>72</v>
      </c>
      <c r="Q24" s="1" t="n">
        <v>91</v>
      </c>
      <c r="S24" s="1" t="n">
        <v>82</v>
      </c>
      <c r="T24" s="1" t="n">
        <v>91</v>
      </c>
    </row>
    <row r="25" customFormat="false" ht="15" hidden="false" customHeight="false" outlineLevel="0" collapsed="false">
      <c r="A25" s="1" t="n">
        <v>42</v>
      </c>
      <c r="B25" s="1" t="n">
        <v>92</v>
      </c>
      <c r="D25" s="1" t="n">
        <v>52</v>
      </c>
      <c r="E25" s="1" t="n">
        <v>92</v>
      </c>
      <c r="G25" s="1" t="n">
        <v>54</v>
      </c>
      <c r="H25" s="1" t="n">
        <v>92</v>
      </c>
      <c r="J25" s="1" t="n">
        <v>59</v>
      </c>
      <c r="K25" s="1" t="n">
        <v>92</v>
      </c>
      <c r="M25" s="1" t="n">
        <v>64</v>
      </c>
      <c r="N25" s="1" t="n">
        <v>92</v>
      </c>
      <c r="P25" s="1" t="n">
        <v>74</v>
      </c>
      <c r="Q25" s="1" t="n">
        <v>92</v>
      </c>
      <c r="S25" s="1" t="n">
        <v>84</v>
      </c>
      <c r="T25" s="1" t="n">
        <v>92</v>
      </c>
    </row>
    <row r="26" customFormat="false" ht="15" hidden="false" customHeight="false" outlineLevel="0" collapsed="false">
      <c r="A26" s="1" t="n">
        <v>43</v>
      </c>
      <c r="B26" s="1" t="n">
        <v>93</v>
      </c>
      <c r="D26" s="1" t="n">
        <v>53</v>
      </c>
      <c r="E26" s="1" t="n">
        <v>93</v>
      </c>
      <c r="G26" s="1" t="n">
        <v>56</v>
      </c>
      <c r="H26" s="1" t="n">
        <v>93</v>
      </c>
      <c r="J26" s="1" t="n">
        <v>61</v>
      </c>
      <c r="K26" s="1" t="n">
        <v>93</v>
      </c>
      <c r="M26" s="1" t="n">
        <v>66</v>
      </c>
      <c r="N26" s="1" t="n">
        <v>93</v>
      </c>
      <c r="P26" s="1" t="n">
        <v>76</v>
      </c>
      <c r="Q26" s="1" t="n">
        <v>93</v>
      </c>
      <c r="S26" s="1" t="n">
        <v>86</v>
      </c>
      <c r="T26" s="1" t="n">
        <v>93</v>
      </c>
    </row>
    <row r="27" customFormat="false" ht="15" hidden="false" customHeight="false" outlineLevel="0" collapsed="false">
      <c r="A27" s="1" t="n">
        <v>44</v>
      </c>
      <c r="B27" s="1" t="n">
        <v>94</v>
      </c>
      <c r="D27" s="1" t="n">
        <v>54</v>
      </c>
      <c r="E27" s="1" t="n">
        <v>94</v>
      </c>
      <c r="G27" s="1" t="n">
        <v>58</v>
      </c>
      <c r="H27" s="1" t="n">
        <v>94</v>
      </c>
      <c r="J27" s="1" t="n">
        <v>63</v>
      </c>
      <c r="K27" s="1" t="n">
        <v>94</v>
      </c>
      <c r="M27" s="1" t="n">
        <v>68</v>
      </c>
      <c r="N27" s="1" t="n">
        <v>94</v>
      </c>
      <c r="P27" s="1" t="n">
        <v>78</v>
      </c>
      <c r="Q27" s="1" t="n">
        <v>94</v>
      </c>
      <c r="S27" s="1" t="n">
        <v>88</v>
      </c>
      <c r="T27" s="1" t="n">
        <v>94</v>
      </c>
    </row>
    <row r="28" customFormat="false" ht="15" hidden="false" customHeight="false" outlineLevel="0" collapsed="false">
      <c r="A28" s="1" t="n">
        <v>45</v>
      </c>
      <c r="B28" s="1" t="n">
        <v>95</v>
      </c>
      <c r="D28" s="1" t="n">
        <v>55</v>
      </c>
      <c r="E28" s="1" t="n">
        <v>95</v>
      </c>
      <c r="G28" s="1" t="n">
        <v>60</v>
      </c>
      <c r="H28" s="1" t="n">
        <v>95</v>
      </c>
      <c r="J28" s="1" t="n">
        <v>65</v>
      </c>
      <c r="K28" s="1" t="n">
        <v>95</v>
      </c>
      <c r="M28" s="1" t="n">
        <v>70</v>
      </c>
      <c r="N28" s="1" t="n">
        <v>95</v>
      </c>
      <c r="P28" s="1" t="n">
        <v>80</v>
      </c>
      <c r="Q28" s="1" t="n">
        <v>95</v>
      </c>
      <c r="S28" s="1" t="n">
        <v>90</v>
      </c>
      <c r="T28" s="1" t="n">
        <v>95</v>
      </c>
    </row>
    <row r="29" customFormat="false" ht="15" hidden="false" customHeight="false" outlineLevel="0" collapsed="false">
      <c r="A29" s="1" t="n">
        <v>46</v>
      </c>
      <c r="B29" s="1" t="n">
        <v>96</v>
      </c>
      <c r="D29" s="1" t="n">
        <v>56</v>
      </c>
      <c r="E29" s="1" t="n">
        <v>96</v>
      </c>
      <c r="G29" s="1" t="n">
        <v>62</v>
      </c>
      <c r="H29" s="1" t="n">
        <v>96</v>
      </c>
      <c r="J29" s="1" t="n">
        <v>67</v>
      </c>
      <c r="K29" s="1" t="n">
        <v>96</v>
      </c>
      <c r="M29" s="1" t="n">
        <v>72</v>
      </c>
      <c r="N29" s="1" t="n">
        <v>96</v>
      </c>
      <c r="P29" s="1" t="n">
        <v>82</v>
      </c>
      <c r="Q29" s="1" t="n">
        <v>96</v>
      </c>
      <c r="S29" s="1" t="n">
        <v>92</v>
      </c>
      <c r="T29" s="1" t="n">
        <v>96</v>
      </c>
    </row>
    <row r="30" customFormat="false" ht="15" hidden="false" customHeight="false" outlineLevel="0" collapsed="false">
      <c r="A30" s="1" t="n">
        <v>47</v>
      </c>
      <c r="B30" s="1" t="n">
        <v>97</v>
      </c>
      <c r="D30" s="1" t="n">
        <v>57</v>
      </c>
      <c r="E30" s="1" t="n">
        <v>97</v>
      </c>
      <c r="G30" s="1" t="n">
        <v>64</v>
      </c>
      <c r="H30" s="1" t="n">
        <v>97</v>
      </c>
      <c r="J30" s="1" t="n">
        <v>69</v>
      </c>
      <c r="K30" s="1" t="n">
        <v>97</v>
      </c>
      <c r="M30" s="1" t="n">
        <v>74</v>
      </c>
      <c r="N30" s="1" t="n">
        <v>97</v>
      </c>
      <c r="P30" s="1" t="n">
        <v>84</v>
      </c>
      <c r="Q30" s="1" t="n">
        <v>97</v>
      </c>
      <c r="S30" s="1" t="n">
        <v>94</v>
      </c>
      <c r="T30" s="1" t="n">
        <v>97</v>
      </c>
    </row>
    <row r="31" customFormat="false" ht="15" hidden="false" customHeight="false" outlineLevel="0" collapsed="false">
      <c r="A31" s="1" t="n">
        <v>48</v>
      </c>
      <c r="B31" s="1" t="n">
        <v>98</v>
      </c>
      <c r="D31" s="1" t="n">
        <v>58</v>
      </c>
      <c r="E31" s="1" t="n">
        <v>98</v>
      </c>
      <c r="G31" s="1" t="n">
        <v>66</v>
      </c>
      <c r="H31" s="1" t="n">
        <v>98</v>
      </c>
      <c r="J31" s="1" t="n">
        <v>71</v>
      </c>
      <c r="K31" s="1" t="n">
        <v>98</v>
      </c>
      <c r="M31" s="1" t="n">
        <v>76</v>
      </c>
      <c r="N31" s="1" t="n">
        <v>98</v>
      </c>
      <c r="P31" s="1" t="n">
        <v>86</v>
      </c>
      <c r="Q31" s="1" t="n">
        <v>98</v>
      </c>
      <c r="S31" s="1" t="n">
        <v>96</v>
      </c>
      <c r="T31" s="1" t="n">
        <v>98</v>
      </c>
    </row>
    <row r="32" customFormat="false" ht="15" hidden="false" customHeight="false" outlineLevel="0" collapsed="false">
      <c r="A32" s="1" t="n">
        <v>49</v>
      </c>
      <c r="B32" s="1" t="n">
        <v>99</v>
      </c>
      <c r="D32" s="1" t="n">
        <v>59</v>
      </c>
      <c r="E32" s="1" t="n">
        <v>99</v>
      </c>
      <c r="G32" s="1" t="n">
        <v>68</v>
      </c>
      <c r="H32" s="1" t="n">
        <v>99</v>
      </c>
      <c r="J32" s="1" t="n">
        <v>73</v>
      </c>
      <c r="K32" s="1" t="n">
        <v>99</v>
      </c>
      <c r="M32" s="1" t="n">
        <v>78</v>
      </c>
      <c r="N32" s="1" t="n">
        <v>99</v>
      </c>
      <c r="P32" s="1" t="n">
        <v>88</v>
      </c>
      <c r="Q32" s="1" t="n">
        <v>99</v>
      </c>
      <c r="S32" s="1" t="n">
        <v>98</v>
      </c>
      <c r="T32" s="1" t="n">
        <v>99</v>
      </c>
    </row>
    <row r="33" customFormat="false" ht="15" hidden="false" customHeight="false" outlineLevel="0" collapsed="false">
      <c r="A33" s="1" t="n">
        <v>50</v>
      </c>
      <c r="B33" s="1" t="n">
        <v>100</v>
      </c>
      <c r="D33" s="1" t="n">
        <v>60</v>
      </c>
      <c r="E33" s="1" t="n">
        <v>100</v>
      </c>
      <c r="G33" s="1" t="n">
        <v>70</v>
      </c>
      <c r="H33" s="1" t="n">
        <v>100</v>
      </c>
      <c r="J33" s="1" t="n">
        <v>75</v>
      </c>
      <c r="K33" s="1" t="n">
        <v>100</v>
      </c>
      <c r="M33" s="1" t="n">
        <v>80</v>
      </c>
      <c r="N33" s="1" t="n">
        <v>100</v>
      </c>
      <c r="P33" s="1" t="n">
        <v>90</v>
      </c>
      <c r="Q33" s="1" t="n">
        <v>100</v>
      </c>
      <c r="S33" s="1" t="n">
        <v>100</v>
      </c>
      <c r="T33" s="1" t="n">
        <v>100</v>
      </c>
    </row>
  </sheetData>
  <sheetProtection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319</TotalTime>
  <Application>LibreOffice/25.2.3.2$Linux_X86_64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2017-04-20T13:24:23Z</dcterms:created>
  <dc:creator>Bea Ulgasan</dc:creator>
  <dc:description/>
  <dc:language>en-US</dc:language>
  <cp:lastModifiedBy/>
  <cp:lastPrinted>2017-09-25T04:44:18Z</cp:lastPrinted>
  <dcterms:modified xsi:type="dcterms:W3CDTF">2026-06-08T14:47:55Z</dcterms:modified>
  <cp:revision>74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