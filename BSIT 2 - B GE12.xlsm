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<sst xmlns="http://schemas.openxmlformats.org/spreadsheetml/2006/main" count="204" uniqueCount="102">
  <si>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</si>
  <si>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</si>
  <si>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</si>
  <si>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</si>
  <si>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</si>
  <si>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</si>
  <si>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</si>
  <si>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</si>
  <si>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</si>
  <si>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GE 12 – Living in the IT Era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</si>
  <si>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</si>
  <si>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</si>
  <si>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</si>
  <si>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</si>
  <si>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</si>
  <si>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</si>
  <si>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</si>
  <si>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EGCA, JOHN CRIS GAYARES</t>
  </si>
  <si>
    <t xml:space="preserve">ESCABARTE, MARK GIL PEDRAJAS</t>
  </si>
  <si>
    <t xml:space="preserve">ESCALANTE, BRYAN JAY SUBARDIAGA</t>
  </si>
  <si>
    <t xml:space="preserve">ESTOYA, JILWIN JOSEPH LHIAN  PEÑFLORIDA</t>
  </si>
  <si>
    <t xml:space="preserve">FAMOSO, ALTHEA ENRIQUEZ</t>
  </si>
  <si>
    <t xml:space="preserve">FAMOSO, CARL TIA</t>
  </si>
  <si>
    <t xml:space="preserve">FAT, NERISA SALGADO</t>
  </si>
  <si>
    <t xml:space="preserve">FERNANDEZ, CHRISTOPHER LIMOTAO</t>
  </si>
  <si>
    <t xml:space="preserve">FERNANDEZ, PENNY LANE TALANQUINES</t>
  </si>
  <si>
    <t xml:space="preserve">FERNANDEZ, WENDELYN VALDEVIEZO</t>
  </si>
  <si>
    <t xml:space="preserve">FLORES, YL JOHN MAHINAY</t>
  </si>
  <si>
    <t xml:space="preserve">GAJO, JAYVEN KIM AMPARO</t>
  </si>
  <si>
    <t xml:space="preserve">GARANZO, LANCE GABRIEL CORDOVA</t>
  </si>
  <si>
    <t xml:space="preserve">GARGANTA, RICHARD ACABO</t>
  </si>
  <si>
    <t xml:space="preserve">GARIANDO, JUSTIN KIM CORREJADO</t>
  </si>
  <si>
    <t xml:space="preserve">GARSOLAO, IVY MARIE ALICAYA</t>
  </si>
  <si>
    <t xml:space="preserve">GASATAYA, RICO TALABAN</t>
  </si>
  <si>
    <t xml:space="preserve">GELBA, ABEGAIL VENUS</t>
  </si>
  <si>
    <t xml:space="preserve">GENGOS, JUN APOSTOL</t>
  </si>
  <si>
    <t xml:space="preserve">GENOVA, JAMES DELA CRUZ</t>
  </si>
  <si>
    <t xml:space="preserve">GEPULANI, JESSA MAE CALUBAQUIT</t>
  </si>
  <si>
    <t xml:space="preserve">GERALDOY, PRECIOUS MARIE BAT-OG</t>
  </si>
  <si>
    <t xml:space="preserve">GESTUPA, STEPHINE NICKLE COLIMBO</t>
  </si>
  <si>
    <t xml:space="preserve">GILGON, ABEGAIL PELARA</t>
  </si>
  <si>
    <t xml:space="preserve">GITALAN, JOHN MARK GRANFIEL</t>
  </si>
  <si>
    <t xml:space="preserve">GORDO, PAUL GREG BAJO</t>
  </si>
  <si>
    <t xml:space="preserve">GRANDEA, JOSE REY URBANOZO</t>
  </si>
  <si>
    <t xml:space="preserve">GUILARAN, CHRISTIAN VILLAMAR</t>
  </si>
  <si>
    <t xml:space="preserve">HERMOSURA, JAYCA FUNDADOR</t>
  </si>
  <si>
    <t xml:space="preserve">HILADO, CATHERINE SALVILLA</t>
  </si>
  <si>
    <t xml:space="preserve">IBAÑEZ , ALFON FRANC DELA CRUZ</t>
  </si>
  <si>
    <t xml:space="preserve">IBAÑEZ, LEO CASSANDRE DIONILLO</t>
  </si>
  <si>
    <t xml:space="preserve">ILUSTRISIMO, REYNALDO SAYSON</t>
  </si>
  <si>
    <t xml:space="preserve">ILUSTRISIMO, REYSHEL SAYSON</t>
  </si>
  <si>
    <t xml:space="preserve">JAIN, HARVEY ARIOLA</t>
  </si>
  <si>
    <t xml:space="preserve">LACHICA, ALTHEIA ROSE CASIDSID</t>
  </si>
  <si>
    <t xml:space="preserve">LACSON, NOVIE VALENTINO</t>
  </si>
  <si>
    <t xml:space="preserve">LAURITO, MJ MEDES</t>
  </si>
  <si>
    <t xml:space="preserve">LAYAN, JOHN REL RAGO</t>
  </si>
  <si>
    <t xml:space="preserve">LIBRE, MARIEL CAUSAPIN</t>
  </si>
  <si>
    <t xml:space="preserve">LIRAZAN, ADRIAN PANONCIAL</t>
  </si>
  <si>
    <t xml:space="preserve">LOZANA, REGEL KEN MAGDAEL</t>
  </si>
  <si>
    <t xml:space="preserve">LUCASAN, ARC XERLAN DULLA</t>
  </si>
  <si>
    <t xml:space="preserve">SILPAO, ADRIAN FREDERICK GATDULA</t>
  </si>
  <si>
    <t xml:space="preserve">SILPAO, ANDREI ANTONIO GATDULA</t>
  </si>
  <si>
    <t xml:space="preserve">SUMAGAYSAY, MAY ANN MOREÑO</t>
  </si>
  <si>
    <t xml:space="preserve">TAGULALAC, ANDREI CHRISTOPHER RAVINA</t>
  </si>
  <si>
    <t xml:space="preserve">TANAYA, KENNA ROSE DEE PERDENIA</t>
  </si>
  <si>
    <t xml:space="preserve">ZUILO, DANIEL</t>
  </si>
  <si>
    <t xml:space="preserve">BASOY, TRIXIE LAURENCE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</si>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</sst>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138960</xdr:colOff>
      <xdr:row>3</xdr:row>
      <xdr:rowOff>141480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16480" cy="748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3024720</xdr:colOff>
      <xdr:row>3</xdr:row>
      <xdr:rowOff>144360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15040" cy="799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3024720</xdr:colOff>
      <xdr:row>3</xdr:row>
      <xdr:rowOff>144360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15040" cy="799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3024720</xdr:colOff>
      <xdr:row>3</xdr:row>
      <xdr:rowOff>143280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15040" cy="7981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81720</xdr:colOff>
      <xdr:row>3</xdr:row>
      <xdr:rowOff>179280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15840" cy="8150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1" colorId="64" zoomScale="60" zoomScaleNormal="60" zoomScalePageLayoutView="100" workbookViewId="0">
      <selection pane="topLeft" activeCell="C70" activeCellId="0" sqref="C70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n">
        <f aca="false">IF(C67&lt;&gt;"",COUNTA($C$20:C67),"")</f>
        <v>48</v>
      </c>
      <c r="C67" s="18" t="s">
        <v>64</v>
      </c>
      <c r="D67" s="18"/>
      <c r="E67" s="18"/>
      <c r="F67" s="18"/>
      <c r="G67" s="19"/>
    </row>
    <row r="68" customFormat="false" ht="15" hidden="false" customHeight="false" outlineLevel="0" collapsed="false">
      <c r="B68" s="17" t="n">
        <f aca="false">IF(C68&lt;&gt;"",COUNTA($C$20:C68),"")</f>
        <v>49</v>
      </c>
      <c r="C68" s="18" t="s">
        <v>65</v>
      </c>
      <c r="D68" s="18"/>
      <c r="E68" s="18"/>
      <c r="F68" s="18"/>
      <c r="G68" s="19"/>
    </row>
    <row r="69" customFormat="false" ht="15" hidden="false" customHeight="false" outlineLevel="0" collapsed="false">
      <c r="B69" s="17" t="n">
        <f aca="false">IF(C69&lt;&gt;"",COUNTA($C$20:C69),"")</f>
        <v>50</v>
      </c>
      <c r="C69" s="18" t="s">
        <v>66</v>
      </c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B13" colorId="64" zoomScale="60" zoomScaleNormal="60" zoomScalePageLayoutView="100" workbookViewId="0">
      <selection pane="topLeft" activeCell="V57" activeCellId="0" sqref="V57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67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90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20</v>
      </c>
      <c r="D15" s="40" t="n">
        <v>20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40</v>
      </c>
      <c r="N15" s="41" t="n">
        <f aca="false">(M15/M$15)*50+50</f>
        <v>100</v>
      </c>
      <c r="O15" s="42" t="n">
        <v>0.3</v>
      </c>
      <c r="P15" s="40" t="n">
        <v>50</v>
      </c>
      <c r="Q15" s="40" t="n">
        <v>100</v>
      </c>
      <c r="R15" s="40"/>
      <c r="S15" s="40"/>
      <c r="T15" s="40"/>
      <c r="U15" s="41" t="n">
        <f aca="false">SUMIF(P15:T15,"&lt;&gt;",P15:T15)</f>
        <v>150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0</v>
      </c>
      <c r="N16" s="46" t="n">
        <f aca="false">(M16/M$15)*50+50</f>
        <v>50</v>
      </c>
      <c r="O16" s="46" t="n">
        <f aca="false">N16*0.3</f>
        <v>15</v>
      </c>
      <c r="P16" s="45" t="n">
        <v>50</v>
      </c>
      <c r="Q16" s="45"/>
      <c r="R16" s="45"/>
      <c r="S16" s="45"/>
      <c r="T16" s="45"/>
      <c r="U16" s="46" t="n">
        <f aca="false">SUMIF(P16:T16,"&lt;&gt;",P16:T16)</f>
        <v>50</v>
      </c>
      <c r="V16" s="46" t="n">
        <f aca="false">(U16/U$15)*50+50</f>
        <v>66.6666666666667</v>
      </c>
      <c r="W16" s="46" t="n">
        <f aca="false">V16*0.2</f>
        <v>13.3333333333333</v>
      </c>
      <c r="X16" s="45" t="n">
        <v>34</v>
      </c>
      <c r="Y16" s="46" t="n">
        <f aca="false">(X16/X$15)*50+50</f>
        <v>84</v>
      </c>
      <c r="Z16" s="46" t="n">
        <f aca="false">Y16*0.5</f>
        <v>42</v>
      </c>
      <c r="AA16" s="47" t="n">
        <f aca="false">SUM(Z16,W16,O16)</f>
        <v>70.3333333333333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0</v>
      </c>
      <c r="N17" s="46" t="n">
        <f aca="false">(M17/M$15)*50+50</f>
        <v>50</v>
      </c>
      <c r="O17" s="46" t="n">
        <f aca="false">N17*0.3</f>
        <v>15</v>
      </c>
      <c r="P17" s="45" t="n">
        <v>50</v>
      </c>
      <c r="Q17" s="45"/>
      <c r="R17" s="45"/>
      <c r="S17" s="45"/>
      <c r="T17" s="45"/>
      <c r="U17" s="46" t="n">
        <f aca="false">SUMIF(P17:T17,"&lt;&gt;",P17:T17)</f>
        <v>50</v>
      </c>
      <c r="V17" s="46" t="n">
        <f aca="false">(U17/U$15)*50+50</f>
        <v>66.6666666666667</v>
      </c>
      <c r="W17" s="46" t="n">
        <f aca="false">V17*0.2</f>
        <v>13.3333333333333</v>
      </c>
      <c r="X17" s="45" t="n">
        <v>40</v>
      </c>
      <c r="Y17" s="46" t="n">
        <f aca="false">(X17/X$15)*50+50</f>
        <v>90</v>
      </c>
      <c r="Z17" s="46" t="n">
        <f aca="false">Y17*0.5</f>
        <v>45</v>
      </c>
      <c r="AA17" s="47" t="n">
        <f aca="false">SUM(Z17,W17,O17)</f>
        <v>73.3333333333333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11</v>
      </c>
      <c r="D18" s="45" t="n">
        <v>16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27</v>
      </c>
      <c r="N18" s="46" t="n">
        <f aca="false">(M18/M$15)*50+50</f>
        <v>83.75</v>
      </c>
      <c r="O18" s="46" t="n">
        <f aca="false">N18*0.3</f>
        <v>25.125</v>
      </c>
      <c r="P18" s="45" t="n">
        <v>50</v>
      </c>
      <c r="Q18" s="45" t="n">
        <v>88</v>
      </c>
      <c r="R18" s="45"/>
      <c r="S18" s="45"/>
      <c r="T18" s="45"/>
      <c r="U18" s="46" t="n">
        <f aca="false">SUMIF(P18:T18,"&lt;&gt;",P18:T18)</f>
        <v>138</v>
      </c>
      <c r="V18" s="46" t="n">
        <f aca="false">(U18/U$15)*50+50</f>
        <v>96</v>
      </c>
      <c r="W18" s="46" t="n">
        <f aca="false">V18*0.2</f>
        <v>19.2</v>
      </c>
      <c r="X18" s="45" t="n">
        <v>36</v>
      </c>
      <c r="Y18" s="46" t="n">
        <f aca="false">(X18/X$15)*50+50</f>
        <v>86</v>
      </c>
      <c r="Z18" s="46" t="n">
        <f aca="false">Y18*0.5</f>
        <v>43</v>
      </c>
      <c r="AA18" s="47" t="n">
        <f aca="false">SUM(Z18,W18,O18)</f>
        <v>87.325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10</v>
      </c>
      <c r="D19" s="45" t="n">
        <v>16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26</v>
      </c>
      <c r="N19" s="46" t="n">
        <f aca="false">(M19/M$15)*50+50</f>
        <v>82.5</v>
      </c>
      <c r="O19" s="46" t="n">
        <f aca="false">N19*0.3</f>
        <v>24.75</v>
      </c>
      <c r="P19" s="45" t="n">
        <v>50</v>
      </c>
      <c r="Q19" s="45" t="n">
        <v>84</v>
      </c>
      <c r="R19" s="45"/>
      <c r="S19" s="45"/>
      <c r="T19" s="45"/>
      <c r="U19" s="46" t="n">
        <f aca="false">SUMIF(P19:T19,"&lt;&gt;",P19:T19)</f>
        <v>134</v>
      </c>
      <c r="V19" s="46" t="n">
        <f aca="false">(U19/U$15)*50+50</f>
        <v>94.6666666666667</v>
      </c>
      <c r="W19" s="46" t="n">
        <f aca="false">V19*0.2</f>
        <v>18.9333333333333</v>
      </c>
      <c r="X19" s="45" t="n">
        <v>42</v>
      </c>
      <c r="Y19" s="46" t="n">
        <f aca="false">(X19/X$15)*50+50</f>
        <v>92</v>
      </c>
      <c r="Z19" s="46" t="n">
        <f aca="false">Y19*0.5</f>
        <v>46</v>
      </c>
      <c r="AA19" s="47" t="n">
        <f aca="false">SUM(Z19,W19,O19)</f>
        <v>89.6833333333333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15</v>
      </c>
      <c r="D20" s="45" t="n">
        <v>20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35</v>
      </c>
      <c r="N20" s="46" t="n">
        <f aca="false">(M20/M$15)*50+50</f>
        <v>93.75</v>
      </c>
      <c r="O20" s="46" t="n">
        <f aca="false">N20*0.3</f>
        <v>28.125</v>
      </c>
      <c r="P20" s="45"/>
      <c r="Q20" s="45" t="n">
        <v>88</v>
      </c>
      <c r="R20" s="45"/>
      <c r="S20" s="45"/>
      <c r="T20" s="45"/>
      <c r="U20" s="46" t="n">
        <f aca="false">SUMIF(P20:T20,"&lt;&gt;",P20:T20)</f>
        <v>88</v>
      </c>
      <c r="V20" s="46" t="n">
        <f aca="false">(U20/U$15)*50+50</f>
        <v>79.3333333333333</v>
      </c>
      <c r="W20" s="46" t="n">
        <f aca="false">V20*0.2</f>
        <v>15.8666666666667</v>
      </c>
      <c r="X20" s="45" t="n">
        <v>43</v>
      </c>
      <c r="Y20" s="46" t="n">
        <f aca="false">(X20/X$15)*50+50</f>
        <v>93</v>
      </c>
      <c r="Z20" s="46" t="n">
        <f aca="false">Y20*0.5</f>
        <v>46.5</v>
      </c>
      <c r="AA20" s="47" t="n">
        <f aca="false">SUM(Z20,W20,O20)</f>
        <v>90.4916666666667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 t="n">
        <v>8</v>
      </c>
      <c r="D21" s="45" t="n">
        <v>17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25</v>
      </c>
      <c r="N21" s="46" t="n">
        <f aca="false">(M21/M$15)*50+50</f>
        <v>81.25</v>
      </c>
      <c r="O21" s="46" t="n">
        <f aca="false">N21*0.3</f>
        <v>24.375</v>
      </c>
      <c r="P21" s="45"/>
      <c r="Q21" s="45" t="n">
        <v>88</v>
      </c>
      <c r="R21" s="45"/>
      <c r="S21" s="45"/>
      <c r="T21" s="45"/>
      <c r="U21" s="46" t="n">
        <f aca="false">SUMIF(P21:T21,"&lt;&gt;",P21:T21)</f>
        <v>88</v>
      </c>
      <c r="V21" s="46" t="n">
        <f aca="false">(U21/U$15)*50+50</f>
        <v>79.3333333333333</v>
      </c>
      <c r="W21" s="46" t="n">
        <f aca="false">V21*0.2</f>
        <v>15.8666666666667</v>
      </c>
      <c r="X21" s="45" t="n">
        <v>37</v>
      </c>
      <c r="Y21" s="46" t="n">
        <f aca="false">(X21/X$15)*50+50</f>
        <v>87</v>
      </c>
      <c r="Z21" s="46" t="n">
        <f aca="false">Y21*0.5</f>
        <v>43.5</v>
      </c>
      <c r="AA21" s="47" t="n">
        <f aca="false">SUM(Z21,W21,O21)</f>
        <v>83.7416666666667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17</v>
      </c>
      <c r="D22" s="45" t="n">
        <v>17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34</v>
      </c>
      <c r="N22" s="46" t="n">
        <f aca="false">(M22/M$15)*50+50</f>
        <v>92.5</v>
      </c>
      <c r="O22" s="46" t="n">
        <f aca="false">N22*0.3</f>
        <v>27.75</v>
      </c>
      <c r="P22" s="45" t="n">
        <v>50</v>
      </c>
      <c r="Q22" s="45" t="n">
        <v>89</v>
      </c>
      <c r="R22" s="45"/>
      <c r="S22" s="45"/>
      <c r="T22" s="45"/>
      <c r="U22" s="46" t="n">
        <f aca="false">SUMIF(P22:T22,"&lt;&gt;",P22:T22)</f>
        <v>139</v>
      </c>
      <c r="V22" s="46" t="n">
        <f aca="false">(U22/U$15)*50+50</f>
        <v>96.3333333333333</v>
      </c>
      <c r="W22" s="46" t="n">
        <f aca="false">V22*0.2</f>
        <v>19.2666666666667</v>
      </c>
      <c r="X22" s="45" t="n">
        <v>40</v>
      </c>
      <c r="Y22" s="46" t="n">
        <f aca="false">(X22/X$15)*50+50</f>
        <v>90</v>
      </c>
      <c r="Z22" s="46" t="n">
        <f aca="false">Y22*0.5</f>
        <v>45</v>
      </c>
      <c r="AA22" s="47" t="n">
        <f aca="false">SUM(Z22,W22,O22)</f>
        <v>92.0166666666667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/>
      <c r="D23" s="45" t="n">
        <v>17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17</v>
      </c>
      <c r="N23" s="46" t="n">
        <f aca="false">(M23/M$15)*50+50</f>
        <v>71.25</v>
      </c>
      <c r="O23" s="46" t="n">
        <f aca="false">N23*0.3</f>
        <v>21.375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 t="n">
        <v>38</v>
      </c>
      <c r="Y23" s="46" t="n">
        <f aca="false">(X23/X$15)*50+50</f>
        <v>88</v>
      </c>
      <c r="Z23" s="46" t="n">
        <f aca="false">Y23*0.5</f>
        <v>44</v>
      </c>
      <c r="AA23" s="47" t="n">
        <f aca="false">SUM(Z23,W23,O23)</f>
        <v>75.375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10</v>
      </c>
      <c r="D24" s="45" t="n">
        <v>17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27</v>
      </c>
      <c r="N24" s="46" t="n">
        <f aca="false">(M24/M$15)*50+50</f>
        <v>83.75</v>
      </c>
      <c r="O24" s="46" t="n">
        <f aca="false">N24*0.3</f>
        <v>25.125</v>
      </c>
      <c r="P24" s="45" t="n">
        <v>50</v>
      </c>
      <c r="Q24" s="45" t="n">
        <v>88</v>
      </c>
      <c r="R24" s="45"/>
      <c r="S24" s="45"/>
      <c r="T24" s="45"/>
      <c r="U24" s="46" t="n">
        <f aca="false">SUMIF(P24:T24,"&lt;&gt;",P24:T24)</f>
        <v>138</v>
      </c>
      <c r="V24" s="46" t="n">
        <f aca="false">(U24/U$15)*50+50</f>
        <v>96</v>
      </c>
      <c r="W24" s="46" t="n">
        <f aca="false">V24*0.2</f>
        <v>19.2</v>
      </c>
      <c r="X24" s="45" t="n">
        <v>42</v>
      </c>
      <c r="Y24" s="46" t="n">
        <f aca="false">(X24/X$15)*50+50</f>
        <v>92</v>
      </c>
      <c r="Z24" s="46" t="n">
        <f aca="false">Y24*0.5</f>
        <v>46</v>
      </c>
      <c r="AA24" s="47" t="n">
        <f aca="false">SUM(Z24,W24,O24)</f>
        <v>90.325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 t="n">
        <v>13</v>
      </c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13</v>
      </c>
      <c r="N25" s="46" t="n">
        <f aca="false">(M25/M$15)*50+50</f>
        <v>66.25</v>
      </c>
      <c r="O25" s="46" t="n">
        <f aca="false">N25*0.3</f>
        <v>19.875</v>
      </c>
      <c r="P25" s="45"/>
      <c r="Q25" s="45" t="n">
        <v>88</v>
      </c>
      <c r="R25" s="45"/>
      <c r="S25" s="45"/>
      <c r="T25" s="45"/>
      <c r="U25" s="46" t="n">
        <f aca="false">SUMIF(P25:T25,"&lt;&gt;",P25:T25)</f>
        <v>88</v>
      </c>
      <c r="V25" s="46" t="n">
        <f aca="false">(U25/U$15)*50+50</f>
        <v>79.3333333333333</v>
      </c>
      <c r="W25" s="46" t="n">
        <f aca="false">V25*0.2</f>
        <v>15.8666666666667</v>
      </c>
      <c r="X25" s="45" t="n">
        <v>37</v>
      </c>
      <c r="Y25" s="46" t="n">
        <f aca="false">(X25/X$15)*50+50</f>
        <v>87</v>
      </c>
      <c r="Z25" s="46" t="n">
        <f aca="false">Y25*0.5</f>
        <v>43.5</v>
      </c>
      <c r="AA25" s="47" t="n">
        <f aca="false">SUM(Z25,W25,O25)</f>
        <v>79.2416666666667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17</v>
      </c>
      <c r="D26" s="45" t="n">
        <v>18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35</v>
      </c>
      <c r="N26" s="46" t="n">
        <f aca="false">(M26/M$15)*50+50</f>
        <v>93.75</v>
      </c>
      <c r="O26" s="46" t="n">
        <f aca="false">N26*0.3</f>
        <v>28.125</v>
      </c>
      <c r="P26" s="45"/>
      <c r="Q26" s="45" t="n">
        <v>84</v>
      </c>
      <c r="R26" s="45"/>
      <c r="S26" s="45"/>
      <c r="T26" s="45"/>
      <c r="U26" s="46" t="n">
        <f aca="false">SUMIF(P26:T26,"&lt;&gt;",P26:T26)</f>
        <v>84</v>
      </c>
      <c r="V26" s="46" t="n">
        <f aca="false">(U26/U$15)*50+50</f>
        <v>78</v>
      </c>
      <c r="W26" s="46" t="n">
        <f aca="false">V26*0.2</f>
        <v>15.6</v>
      </c>
      <c r="X26" s="45" t="n">
        <v>46</v>
      </c>
      <c r="Y26" s="46" t="n">
        <f aca="false">(X26/X$15)*50+50</f>
        <v>96</v>
      </c>
      <c r="Z26" s="46" t="n">
        <f aca="false">Y26*0.5</f>
        <v>48</v>
      </c>
      <c r="AA26" s="47" t="n">
        <f aca="false">SUM(Z26,W26,O26)</f>
        <v>91.725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/>
      <c r="D27" s="45" t="n">
        <v>18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18</v>
      </c>
      <c r="N27" s="46" t="n">
        <f aca="false">(M27/M$15)*50+50</f>
        <v>72.5</v>
      </c>
      <c r="O27" s="46" t="n">
        <f aca="false">N27*0.3</f>
        <v>21.75</v>
      </c>
      <c r="P27" s="45" t="n">
        <v>50</v>
      </c>
      <c r="Q27" s="45" t="n">
        <v>88</v>
      </c>
      <c r="R27" s="45"/>
      <c r="S27" s="45"/>
      <c r="T27" s="45"/>
      <c r="U27" s="46" t="n">
        <f aca="false">SUMIF(P27:T27,"&lt;&gt;",P27:T27)</f>
        <v>138</v>
      </c>
      <c r="V27" s="46" t="n">
        <f aca="false">(U27/U$15)*50+50</f>
        <v>96</v>
      </c>
      <c r="W27" s="46" t="n">
        <f aca="false">V27*0.2</f>
        <v>19.2</v>
      </c>
      <c r="X27" s="45" t="n">
        <v>42</v>
      </c>
      <c r="Y27" s="46" t="n">
        <f aca="false">(X27/X$15)*50+50</f>
        <v>92</v>
      </c>
      <c r="Z27" s="46" t="n">
        <f aca="false">Y27*0.5</f>
        <v>46</v>
      </c>
      <c r="AA27" s="47" t="n">
        <f aca="false">SUM(Z27,W27,O27)</f>
        <v>86.95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 t="n">
        <v>34</v>
      </c>
      <c r="Y28" s="46" t="n">
        <f aca="false">(X28/X$15)*50+50</f>
        <v>84</v>
      </c>
      <c r="Z28" s="46" t="n">
        <f aca="false">Y28*0.5</f>
        <v>42</v>
      </c>
      <c r="AA28" s="47" t="n">
        <f aca="false">SUM(Z28,W28,O28)</f>
        <v>67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/>
      <c r="D29" s="45" t="n">
        <v>16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16</v>
      </c>
      <c r="N29" s="46" t="n">
        <f aca="false">(M29/M$15)*50+50</f>
        <v>70</v>
      </c>
      <c r="O29" s="46" t="n">
        <f aca="false">N29*0.3</f>
        <v>21</v>
      </c>
      <c r="P29" s="45"/>
      <c r="Q29" s="45" t="n">
        <v>88</v>
      </c>
      <c r="R29" s="45"/>
      <c r="S29" s="45"/>
      <c r="T29" s="45"/>
      <c r="U29" s="46" t="n">
        <f aca="false">SUMIF(P29:T29,"&lt;&gt;",P29:T29)</f>
        <v>88</v>
      </c>
      <c r="V29" s="46" t="n">
        <f aca="false">(U29/U$15)*50+50</f>
        <v>79.3333333333333</v>
      </c>
      <c r="W29" s="46" t="n">
        <f aca="false">V29*0.2</f>
        <v>15.8666666666667</v>
      </c>
      <c r="X29" s="45" t="n">
        <v>34</v>
      </c>
      <c r="Y29" s="46" t="n">
        <f aca="false">(X29/X$15)*50+50</f>
        <v>84</v>
      </c>
      <c r="Z29" s="46" t="n">
        <f aca="false">Y29*0.5</f>
        <v>42</v>
      </c>
      <c r="AA29" s="47" t="n">
        <f aca="false">SUM(Z29,W29,O29)</f>
        <v>78.8666666666667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9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9</v>
      </c>
      <c r="N30" s="46" t="n">
        <f aca="false">(M30/M$15)*50+50</f>
        <v>61.25</v>
      </c>
      <c r="O30" s="46" t="n">
        <f aca="false">N30*0.3</f>
        <v>18.375</v>
      </c>
      <c r="P30" s="45" t="n">
        <v>50</v>
      </c>
      <c r="Q30" s="45" t="n">
        <v>89</v>
      </c>
      <c r="R30" s="45"/>
      <c r="S30" s="45"/>
      <c r="T30" s="45"/>
      <c r="U30" s="46" t="n">
        <f aca="false">SUMIF(P30:T30,"&lt;&gt;",P30:T30)</f>
        <v>139</v>
      </c>
      <c r="V30" s="46" t="n">
        <f aca="false">(U30/U$15)*50+50</f>
        <v>96.3333333333333</v>
      </c>
      <c r="W30" s="46" t="n">
        <f aca="false">V30*0.2</f>
        <v>19.2666666666667</v>
      </c>
      <c r="X30" s="45" t="n">
        <v>37</v>
      </c>
      <c r="Y30" s="46" t="n">
        <f aca="false">(X30/X$15)*50+50</f>
        <v>87</v>
      </c>
      <c r="Z30" s="46" t="n">
        <f aca="false">Y30*0.5</f>
        <v>43.5</v>
      </c>
      <c r="AA30" s="47" t="n">
        <f aca="false">SUM(Z30,W30,O30)</f>
        <v>81.1416666666667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13</v>
      </c>
      <c r="D31" s="45" t="n">
        <v>19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32</v>
      </c>
      <c r="N31" s="46" t="n">
        <f aca="false">(M31/M$15)*50+50</f>
        <v>90</v>
      </c>
      <c r="O31" s="46" t="n">
        <f aca="false">N31*0.3</f>
        <v>27</v>
      </c>
      <c r="P31" s="45"/>
      <c r="Q31" s="45" t="n">
        <v>84</v>
      </c>
      <c r="R31" s="45"/>
      <c r="S31" s="45"/>
      <c r="T31" s="45"/>
      <c r="U31" s="46" t="n">
        <f aca="false">SUMIF(P31:T31,"&lt;&gt;",P31:T31)</f>
        <v>84</v>
      </c>
      <c r="V31" s="46" t="n">
        <f aca="false">(U31/U$15)*50+50</f>
        <v>78</v>
      </c>
      <c r="W31" s="46" t="n">
        <f aca="false">V31*0.2</f>
        <v>15.6</v>
      </c>
      <c r="X31" s="45" t="n">
        <v>37</v>
      </c>
      <c r="Y31" s="46" t="n">
        <f aca="false">(X31/X$15)*50+50</f>
        <v>87</v>
      </c>
      <c r="Z31" s="46" t="n">
        <f aca="false">Y31*0.5</f>
        <v>43.5</v>
      </c>
      <c r="AA31" s="47" t="n">
        <f aca="false">SUM(Z31,W31,O31)</f>
        <v>86.1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16</v>
      </c>
      <c r="D32" s="45" t="n">
        <v>18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34</v>
      </c>
      <c r="N32" s="46" t="n">
        <f aca="false">(M32/M$15)*50+50</f>
        <v>92.5</v>
      </c>
      <c r="O32" s="46" t="n">
        <f aca="false">N32*0.3</f>
        <v>27.75</v>
      </c>
      <c r="P32" s="45" t="n">
        <v>50</v>
      </c>
      <c r="Q32" s="45" t="n">
        <v>84</v>
      </c>
      <c r="R32" s="45"/>
      <c r="S32" s="45"/>
      <c r="T32" s="45"/>
      <c r="U32" s="46" t="n">
        <f aca="false">SUMIF(P32:T32,"&lt;&gt;",P32:T32)</f>
        <v>134</v>
      </c>
      <c r="V32" s="46" t="n">
        <f aca="false">(U32/U$15)*50+50</f>
        <v>94.6666666666667</v>
      </c>
      <c r="W32" s="46" t="n">
        <f aca="false">V32*0.2</f>
        <v>18.9333333333333</v>
      </c>
      <c r="X32" s="45" t="n">
        <v>31</v>
      </c>
      <c r="Y32" s="46" t="n">
        <f aca="false">(X32/X$15)*50+50</f>
        <v>81</v>
      </c>
      <c r="Z32" s="46" t="n">
        <f aca="false">Y32*0.5</f>
        <v>40.5</v>
      </c>
      <c r="AA32" s="47" t="n">
        <f aca="false">SUM(Z32,W32,O32)</f>
        <v>87.1833333333333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19</v>
      </c>
      <c r="D33" s="45" t="n">
        <v>15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34</v>
      </c>
      <c r="N33" s="46" t="n">
        <f aca="false">(M33/M$15)*50+50</f>
        <v>92.5</v>
      </c>
      <c r="O33" s="46" t="n">
        <f aca="false">N33*0.3</f>
        <v>27.75</v>
      </c>
      <c r="P33" s="45" t="n">
        <v>50</v>
      </c>
      <c r="Q33" s="45" t="n">
        <v>88</v>
      </c>
      <c r="R33" s="45"/>
      <c r="S33" s="45"/>
      <c r="T33" s="45"/>
      <c r="U33" s="46" t="n">
        <f aca="false">SUMIF(P33:T33,"&lt;&gt;",P33:T33)</f>
        <v>138</v>
      </c>
      <c r="V33" s="46" t="n">
        <f aca="false">(U33/U$15)*50+50</f>
        <v>96</v>
      </c>
      <c r="W33" s="46" t="n">
        <f aca="false">V33*0.2</f>
        <v>19.2</v>
      </c>
      <c r="X33" s="45" t="n">
        <v>41</v>
      </c>
      <c r="Y33" s="46" t="n">
        <f aca="false">(X33/X$15)*50+50</f>
        <v>91</v>
      </c>
      <c r="Z33" s="46" t="n">
        <f aca="false">Y33*0.5</f>
        <v>45.5</v>
      </c>
      <c r="AA33" s="47" t="n">
        <f aca="false">SUM(Z33,W33,O33)</f>
        <v>92.45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/>
      <c r="D34" s="45" t="n">
        <v>18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18</v>
      </c>
      <c r="N34" s="46" t="n">
        <f aca="false">(M34/M$15)*50+50</f>
        <v>72.5</v>
      </c>
      <c r="O34" s="46" t="n">
        <f aca="false">N34*0.3</f>
        <v>21.75</v>
      </c>
      <c r="P34" s="45"/>
      <c r="Q34" s="45" t="n">
        <v>84</v>
      </c>
      <c r="R34" s="45"/>
      <c r="S34" s="45"/>
      <c r="T34" s="45"/>
      <c r="U34" s="46" t="n">
        <f aca="false">SUMIF(P34:T34,"&lt;&gt;",P34:T34)</f>
        <v>84</v>
      </c>
      <c r="V34" s="46" t="n">
        <f aca="false">(U34/U$15)*50+50</f>
        <v>78</v>
      </c>
      <c r="W34" s="46" t="n">
        <f aca="false">V34*0.2</f>
        <v>15.6</v>
      </c>
      <c r="X34" s="45" t="n">
        <v>39</v>
      </c>
      <c r="Y34" s="46" t="n">
        <f aca="false">(X34/X$15)*50+50</f>
        <v>89</v>
      </c>
      <c r="Z34" s="46" t="n">
        <f aca="false">Y34*0.5</f>
        <v>44.5</v>
      </c>
      <c r="AA34" s="47" t="n">
        <f aca="false">SUM(Z34,W34,O34)</f>
        <v>81.85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0</v>
      </c>
      <c r="N35" s="46" t="n">
        <f aca="false">(M35/M$15)*50+50</f>
        <v>50</v>
      </c>
      <c r="O35" s="46" t="n">
        <f aca="false">N35*0.3</f>
        <v>15</v>
      </c>
      <c r="P35" s="45"/>
      <c r="Q35" s="45" t="n">
        <v>89</v>
      </c>
      <c r="R35" s="45"/>
      <c r="S35" s="45"/>
      <c r="T35" s="45"/>
      <c r="U35" s="46" t="n">
        <f aca="false">SUMIF(P35:T35,"&lt;&gt;",P35:T35)</f>
        <v>89</v>
      </c>
      <c r="V35" s="46" t="n">
        <f aca="false">(U35/U$15)*50+50</f>
        <v>79.6666666666667</v>
      </c>
      <c r="W35" s="46" t="n">
        <f aca="false">V35*0.2</f>
        <v>15.9333333333333</v>
      </c>
      <c r="X35" s="45" t="n">
        <v>25</v>
      </c>
      <c r="Y35" s="46" t="n">
        <f aca="false">(X35/X$15)*50+50</f>
        <v>75</v>
      </c>
      <c r="Z35" s="46" t="n">
        <f aca="false">Y35*0.5</f>
        <v>37.5</v>
      </c>
      <c r="AA35" s="47" t="n">
        <f aca="false">SUM(Z35,W35,O35)</f>
        <v>68.4333333333333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/>
      <c r="D36" s="45" t="n">
        <v>15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15</v>
      </c>
      <c r="N36" s="46" t="n">
        <f aca="false">(M36/M$15)*50+50</f>
        <v>68.75</v>
      </c>
      <c r="O36" s="46" t="n">
        <f aca="false">N36*0.3</f>
        <v>20.625</v>
      </c>
      <c r="P36" s="45" t="n">
        <v>50</v>
      </c>
      <c r="Q36" s="45" t="n">
        <v>88</v>
      </c>
      <c r="R36" s="45"/>
      <c r="S36" s="45"/>
      <c r="T36" s="45"/>
      <c r="U36" s="46" t="n">
        <f aca="false">SUMIF(P36:T36,"&lt;&gt;",P36:T36)</f>
        <v>138</v>
      </c>
      <c r="V36" s="46" t="n">
        <f aca="false">(U36/U$15)*50+50</f>
        <v>96</v>
      </c>
      <c r="W36" s="46" t="n">
        <f aca="false">V36*0.2</f>
        <v>19.2</v>
      </c>
      <c r="X36" s="45" t="n">
        <v>40</v>
      </c>
      <c r="Y36" s="46" t="n">
        <f aca="false">(X36/X$15)*50+50</f>
        <v>90</v>
      </c>
      <c r="Z36" s="46" t="n">
        <f aca="false">Y36*0.5</f>
        <v>45</v>
      </c>
      <c r="AA36" s="47" t="n">
        <f aca="false">SUM(Z36,W36,O36)</f>
        <v>84.825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14</v>
      </c>
      <c r="D37" s="45" t="n">
        <v>18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32</v>
      </c>
      <c r="N37" s="46" t="n">
        <f aca="false">(M37/M$15)*50+50</f>
        <v>90</v>
      </c>
      <c r="O37" s="46" t="n">
        <f aca="false">N37*0.3</f>
        <v>27</v>
      </c>
      <c r="P37" s="45" t="n">
        <v>50</v>
      </c>
      <c r="Q37" s="45" t="n">
        <v>89</v>
      </c>
      <c r="R37" s="45"/>
      <c r="S37" s="45"/>
      <c r="T37" s="45"/>
      <c r="U37" s="46" t="n">
        <f aca="false">SUMIF(P37:T37,"&lt;&gt;",P37:T37)</f>
        <v>139</v>
      </c>
      <c r="V37" s="46" t="n">
        <f aca="false">(U37/U$15)*50+50</f>
        <v>96.3333333333333</v>
      </c>
      <c r="W37" s="46" t="n">
        <f aca="false">V37*0.2</f>
        <v>19.2666666666667</v>
      </c>
      <c r="X37" s="45" t="n">
        <v>31</v>
      </c>
      <c r="Y37" s="46" t="n">
        <f aca="false">(X37/X$15)*50+50</f>
        <v>81</v>
      </c>
      <c r="Z37" s="46" t="n">
        <f aca="false">Y37*0.5</f>
        <v>40.5</v>
      </c>
      <c r="AA37" s="47" t="n">
        <f aca="false">SUM(Z37,W37,O37)</f>
        <v>86.7666666666667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7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7</v>
      </c>
      <c r="N38" s="46" t="n">
        <f aca="false">(M38/M$15)*50+50</f>
        <v>58.75</v>
      </c>
      <c r="O38" s="46" t="n">
        <f aca="false">N38*0.3</f>
        <v>17.625</v>
      </c>
      <c r="P38" s="45"/>
      <c r="Q38" s="45" t="n">
        <v>80</v>
      </c>
      <c r="R38" s="45"/>
      <c r="S38" s="45"/>
      <c r="T38" s="45"/>
      <c r="U38" s="46" t="n">
        <f aca="false">SUMIF(P38:T38,"&lt;&gt;",P38:T38)</f>
        <v>80</v>
      </c>
      <c r="V38" s="46" t="n">
        <f aca="false">(U38/U$15)*50+50</f>
        <v>76.6666666666667</v>
      </c>
      <c r="W38" s="46" t="n">
        <f aca="false">V38*0.2</f>
        <v>15.3333333333333</v>
      </c>
      <c r="X38" s="45" t="n">
        <v>38</v>
      </c>
      <c r="Y38" s="46" t="n">
        <f aca="false">(X38/X$15)*50+50</f>
        <v>88</v>
      </c>
      <c r="Z38" s="46" t="n">
        <f aca="false">Y38*0.5</f>
        <v>44</v>
      </c>
      <c r="AA38" s="47" t="n">
        <f aca="false">SUM(Z38,W38,O38)</f>
        <v>76.9583333333333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19</v>
      </c>
      <c r="D39" s="45" t="n">
        <v>18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37</v>
      </c>
      <c r="N39" s="46" t="n">
        <f aca="false">(M39/M$15)*50+50</f>
        <v>96.25</v>
      </c>
      <c r="O39" s="46" t="n">
        <f aca="false">N39*0.3</f>
        <v>28.875</v>
      </c>
      <c r="P39" s="45" t="n">
        <v>50</v>
      </c>
      <c r="Q39" s="45" t="n">
        <v>80</v>
      </c>
      <c r="R39" s="45"/>
      <c r="S39" s="45"/>
      <c r="T39" s="45"/>
      <c r="U39" s="46" t="n">
        <f aca="false">SUMIF(P39:T39,"&lt;&gt;",P39:T39)</f>
        <v>130</v>
      </c>
      <c r="V39" s="46" t="n">
        <f aca="false">(U39/U$15)*50+50</f>
        <v>93.3333333333333</v>
      </c>
      <c r="W39" s="46" t="n">
        <f aca="false">V39*0.2</f>
        <v>18.6666666666667</v>
      </c>
      <c r="X39" s="45" t="n">
        <v>41</v>
      </c>
      <c r="Y39" s="46" t="n">
        <f aca="false">(X39/X$15)*50+50</f>
        <v>91</v>
      </c>
      <c r="Z39" s="46" t="n">
        <f aca="false">Y39*0.5</f>
        <v>45.5</v>
      </c>
      <c r="AA39" s="47" t="n">
        <f aca="false">SUM(Z39,W39,O39)</f>
        <v>93.0416666666667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9</v>
      </c>
      <c r="D40" s="45" t="n">
        <v>16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25</v>
      </c>
      <c r="N40" s="46" t="n">
        <f aca="false">(M40/M$15)*50+50</f>
        <v>81.25</v>
      </c>
      <c r="O40" s="46" t="n">
        <f aca="false">N40*0.3</f>
        <v>24.375</v>
      </c>
      <c r="P40" s="45"/>
      <c r="Q40" s="45" t="n">
        <v>88</v>
      </c>
      <c r="R40" s="45"/>
      <c r="S40" s="45"/>
      <c r="T40" s="45"/>
      <c r="U40" s="46" t="n">
        <f aca="false">SUMIF(P40:T40,"&lt;&gt;",P40:T40)</f>
        <v>88</v>
      </c>
      <c r="V40" s="46" t="n">
        <f aca="false">(U40/U$15)*50+50</f>
        <v>79.3333333333333</v>
      </c>
      <c r="W40" s="46" t="n">
        <f aca="false">V40*0.2</f>
        <v>15.8666666666667</v>
      </c>
      <c r="X40" s="45" t="n">
        <v>33</v>
      </c>
      <c r="Y40" s="46" t="n">
        <f aca="false">(X40/X$15)*50+50</f>
        <v>83</v>
      </c>
      <c r="Z40" s="46" t="n">
        <f aca="false">Y40*0.5</f>
        <v>41.5</v>
      </c>
      <c r="AA40" s="47" t="n">
        <f aca="false">SUM(Z40,W40,O40)</f>
        <v>81.7416666666667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/>
      <c r="D41" s="45" t="n">
        <v>17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17</v>
      </c>
      <c r="N41" s="46" t="n">
        <f aca="false">(M41/M$15)*50+50</f>
        <v>71.25</v>
      </c>
      <c r="O41" s="46" t="n">
        <f aca="false">N41*0.3</f>
        <v>21.375</v>
      </c>
      <c r="P41" s="45" t="n">
        <v>50</v>
      </c>
      <c r="Q41" s="45" t="n">
        <v>89</v>
      </c>
      <c r="R41" s="45"/>
      <c r="S41" s="45"/>
      <c r="T41" s="45"/>
      <c r="U41" s="46" t="n">
        <f aca="false">SUMIF(P41:T41,"&lt;&gt;",P41:T41)</f>
        <v>139</v>
      </c>
      <c r="V41" s="46" t="n">
        <f aca="false">(U41/U$15)*50+50</f>
        <v>96.3333333333333</v>
      </c>
      <c r="W41" s="46" t="n">
        <f aca="false">V41*0.2</f>
        <v>19.2666666666667</v>
      </c>
      <c r="X41" s="45" t="n">
        <v>34</v>
      </c>
      <c r="Y41" s="46" t="n">
        <f aca="false">(X41/X$15)*50+50</f>
        <v>84</v>
      </c>
      <c r="Z41" s="46" t="n">
        <f aca="false">Y41*0.5</f>
        <v>42</v>
      </c>
      <c r="AA41" s="47" t="n">
        <f aca="false">SUM(Z41,W41,O41)</f>
        <v>82.6416666666667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 t="n">
        <v>15</v>
      </c>
      <c r="D42" s="45" t="n">
        <v>18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33</v>
      </c>
      <c r="N42" s="46" t="n">
        <f aca="false">(M42/M$15)*50+50</f>
        <v>91.25</v>
      </c>
      <c r="O42" s="46" t="n">
        <f aca="false">N42*0.3</f>
        <v>27.375</v>
      </c>
      <c r="P42" s="45" t="n">
        <v>50</v>
      </c>
      <c r="Q42" s="45" t="n">
        <v>88</v>
      </c>
      <c r="R42" s="45"/>
      <c r="S42" s="45"/>
      <c r="T42" s="45"/>
      <c r="U42" s="46" t="n">
        <f aca="false">SUMIF(P42:T42,"&lt;&gt;",P42:T42)</f>
        <v>138</v>
      </c>
      <c r="V42" s="46" t="n">
        <f aca="false">(U42/U$15)*50+50</f>
        <v>96</v>
      </c>
      <c r="W42" s="46" t="n">
        <f aca="false">V42*0.2</f>
        <v>19.2</v>
      </c>
      <c r="X42" s="45" t="n">
        <v>45</v>
      </c>
      <c r="Y42" s="46" t="n">
        <f aca="false">(X42/X$15)*50+50</f>
        <v>95</v>
      </c>
      <c r="Z42" s="46" t="n">
        <f aca="false">Y42*0.5</f>
        <v>47.5</v>
      </c>
      <c r="AA42" s="47" t="n">
        <f aca="false">SUM(Z42,W42,O42)</f>
        <v>94.075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9</v>
      </c>
      <c r="D43" s="45" t="n">
        <v>17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26</v>
      </c>
      <c r="N43" s="46" t="n">
        <f aca="false">(M43/M$15)*50+50</f>
        <v>82.5</v>
      </c>
      <c r="O43" s="46" t="n">
        <f aca="false">N43*0.3</f>
        <v>24.75</v>
      </c>
      <c r="P43" s="45"/>
      <c r="Q43" s="45" t="n">
        <v>84</v>
      </c>
      <c r="R43" s="45"/>
      <c r="S43" s="45"/>
      <c r="T43" s="45"/>
      <c r="U43" s="46" t="n">
        <f aca="false">SUMIF(P43:T43,"&lt;&gt;",P43:T43)</f>
        <v>84</v>
      </c>
      <c r="V43" s="46" t="n">
        <f aca="false">(U43/U$15)*50+50</f>
        <v>78</v>
      </c>
      <c r="W43" s="46" t="n">
        <f aca="false">V43*0.2</f>
        <v>15.6</v>
      </c>
      <c r="X43" s="45" t="n">
        <v>21</v>
      </c>
      <c r="Y43" s="46" t="n">
        <f aca="false">(X43/X$15)*50+50</f>
        <v>71</v>
      </c>
      <c r="Z43" s="46" t="n">
        <f aca="false">Y43*0.5</f>
        <v>35.5</v>
      </c>
      <c r="AA43" s="47" t="n">
        <f aca="false">SUM(Z43,W43,O43)</f>
        <v>75.85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15</v>
      </c>
      <c r="D44" s="45" t="n">
        <v>20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35</v>
      </c>
      <c r="N44" s="46" t="n">
        <f aca="false">(M44/M$15)*50+50</f>
        <v>93.75</v>
      </c>
      <c r="O44" s="46" t="n">
        <f aca="false">N44*0.3</f>
        <v>28.125</v>
      </c>
      <c r="P44" s="45"/>
      <c r="Q44" s="45" t="n">
        <v>84</v>
      </c>
      <c r="R44" s="45"/>
      <c r="S44" s="45"/>
      <c r="T44" s="45"/>
      <c r="U44" s="46" t="n">
        <f aca="false">SUMIF(P44:T44,"&lt;&gt;",P44:T44)</f>
        <v>84</v>
      </c>
      <c r="V44" s="46" t="n">
        <f aca="false">(U44/U$15)*50+50</f>
        <v>78</v>
      </c>
      <c r="W44" s="46" t="n">
        <f aca="false">V44*0.2</f>
        <v>15.6</v>
      </c>
      <c r="X44" s="45" t="n">
        <v>46</v>
      </c>
      <c r="Y44" s="46" t="n">
        <f aca="false">(X44/X$15)*50+50</f>
        <v>96</v>
      </c>
      <c r="Z44" s="46" t="n">
        <f aca="false">Y44*0.5</f>
        <v>48</v>
      </c>
      <c r="AA44" s="47" t="n">
        <f aca="false">SUM(Z44,W44,O44)</f>
        <v>91.725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15</v>
      </c>
      <c r="D45" s="45" t="n">
        <v>17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32</v>
      </c>
      <c r="N45" s="46" t="n">
        <f aca="false">(M45/M$15)*50+50</f>
        <v>90</v>
      </c>
      <c r="O45" s="46" t="n">
        <f aca="false">N45*0.3</f>
        <v>27</v>
      </c>
      <c r="P45" s="45" t="n">
        <v>50</v>
      </c>
      <c r="Q45" s="45" t="n">
        <v>80</v>
      </c>
      <c r="R45" s="45"/>
      <c r="S45" s="45"/>
      <c r="T45" s="45"/>
      <c r="U45" s="46" t="n">
        <f aca="false">SUMIF(P45:T45,"&lt;&gt;",P45:T45)</f>
        <v>130</v>
      </c>
      <c r="V45" s="46" t="n">
        <f aca="false">(U45/U$15)*50+50</f>
        <v>93.3333333333333</v>
      </c>
      <c r="W45" s="46" t="n">
        <f aca="false">V45*0.2</f>
        <v>18.6666666666667</v>
      </c>
      <c r="X45" s="45" t="n">
        <v>34</v>
      </c>
      <c r="Y45" s="46" t="n">
        <f aca="false">(X45/X$15)*50+50</f>
        <v>84</v>
      </c>
      <c r="Z45" s="46" t="n">
        <f aca="false">Y45*0.5</f>
        <v>42</v>
      </c>
      <c r="AA45" s="47" t="n">
        <f aca="false">SUM(Z45,W45,O45)</f>
        <v>87.6666666666667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13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13</v>
      </c>
      <c r="N46" s="46" t="n">
        <f aca="false">(M46/M$15)*50+50</f>
        <v>66.25</v>
      </c>
      <c r="O46" s="46" t="n">
        <f aca="false">N46*0.3</f>
        <v>19.875</v>
      </c>
      <c r="P46" s="45" t="n">
        <v>50</v>
      </c>
      <c r="Q46" s="45" t="n">
        <v>89</v>
      </c>
      <c r="R46" s="45"/>
      <c r="S46" s="45"/>
      <c r="T46" s="45"/>
      <c r="U46" s="46" t="n">
        <f aca="false">SUMIF(P46:T46,"&lt;&gt;",P46:T46)</f>
        <v>139</v>
      </c>
      <c r="V46" s="46" t="n">
        <f aca="false">(U46/U$15)*50+50</f>
        <v>96.3333333333333</v>
      </c>
      <c r="W46" s="46" t="n">
        <f aca="false">V46*0.2</f>
        <v>19.2666666666667</v>
      </c>
      <c r="X46" s="45" t="n">
        <v>31</v>
      </c>
      <c r="Y46" s="46" t="n">
        <f aca="false">(X46/X$15)*50+50</f>
        <v>81</v>
      </c>
      <c r="Z46" s="46" t="n">
        <f aca="false">Y46*0.5</f>
        <v>40.5</v>
      </c>
      <c r="AA46" s="47" t="n">
        <f aca="false">SUM(Z46,W46,O46)</f>
        <v>79.6416666666667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/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/>
      <c r="Y47" s="46" t="n">
        <f aca="false">(X47/X$15)*50+50</f>
        <v>50</v>
      </c>
      <c r="Z47" s="46" t="n">
        <f aca="false">Y47*0.5</f>
        <v>25</v>
      </c>
      <c r="AA47" s="47" t="n">
        <f aca="false">SUM(Z47,W47,O47)</f>
        <v>50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15</v>
      </c>
      <c r="D48" s="45" t="n">
        <v>18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33</v>
      </c>
      <c r="N48" s="46" t="n">
        <f aca="false">(M48/M$15)*50+50</f>
        <v>91.25</v>
      </c>
      <c r="O48" s="46" t="n">
        <f aca="false">N48*0.3</f>
        <v>27.375</v>
      </c>
      <c r="P48" s="45" t="n">
        <v>50</v>
      </c>
      <c r="Q48" s="45" t="n">
        <v>80</v>
      </c>
      <c r="R48" s="45"/>
      <c r="S48" s="45"/>
      <c r="T48" s="45"/>
      <c r="U48" s="46" t="n">
        <f aca="false">SUMIF(P48:T48,"&lt;&gt;",P48:T48)</f>
        <v>130</v>
      </c>
      <c r="V48" s="46" t="n">
        <f aca="false">(U48/U$15)*50+50</f>
        <v>93.3333333333333</v>
      </c>
      <c r="W48" s="46" t="n">
        <f aca="false">V48*0.2</f>
        <v>18.6666666666667</v>
      </c>
      <c r="X48" s="45" t="n">
        <v>37</v>
      </c>
      <c r="Y48" s="46" t="n">
        <f aca="false">(X48/X$15)*50+50</f>
        <v>87</v>
      </c>
      <c r="Z48" s="46" t="n">
        <f aca="false">Y48*0.5</f>
        <v>43.5</v>
      </c>
      <c r="AA48" s="47" t="n">
        <f aca="false">SUM(Z48,W48,O48)</f>
        <v>89.5416666666667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13</v>
      </c>
      <c r="D49" s="45" t="n">
        <v>18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31</v>
      </c>
      <c r="N49" s="46" t="n">
        <f aca="false">(M49/M$15)*50+50</f>
        <v>88.75</v>
      </c>
      <c r="O49" s="48" t="n">
        <f aca="false">N49*0.3</f>
        <v>26.625</v>
      </c>
      <c r="P49" s="45" t="n">
        <v>50</v>
      </c>
      <c r="Q49" s="45" t="n">
        <v>88</v>
      </c>
      <c r="R49" s="45"/>
      <c r="S49" s="45"/>
      <c r="T49" s="45"/>
      <c r="U49" s="46" t="n">
        <f aca="false">SUMIF(P49:T49,"&lt;&gt;",P49:T49)</f>
        <v>138</v>
      </c>
      <c r="V49" s="46" t="n">
        <f aca="false">(U49/U$15)*50+50</f>
        <v>96</v>
      </c>
      <c r="W49" s="46" t="n">
        <f aca="false">V49*0.2</f>
        <v>19.2</v>
      </c>
      <c r="X49" s="45" t="n">
        <v>36</v>
      </c>
      <c r="Y49" s="46" t="n">
        <f aca="false">(X49/X$15)*50+50</f>
        <v>86</v>
      </c>
      <c r="Z49" s="46" t="n">
        <f aca="false">Y49*0.5</f>
        <v>43</v>
      </c>
      <c r="AA49" s="47" t="n">
        <f aca="false">SUM(Z49,W49,O49)</f>
        <v>88.825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12</v>
      </c>
      <c r="D50" s="45" t="n">
        <v>17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29</v>
      </c>
      <c r="N50" s="46" t="n">
        <f aca="false">(M50/M$15)*50+50</f>
        <v>86.25</v>
      </c>
      <c r="O50" s="48" t="n">
        <f aca="false">N50*0.3</f>
        <v>25.875</v>
      </c>
      <c r="P50" s="45" t="n">
        <v>50</v>
      </c>
      <c r="Q50" s="45" t="n">
        <v>80</v>
      </c>
      <c r="R50" s="45"/>
      <c r="S50" s="45"/>
      <c r="T50" s="45"/>
      <c r="U50" s="46" t="n">
        <f aca="false">SUMIF(P50:T50,"&lt;&gt;",P50:T50)</f>
        <v>130</v>
      </c>
      <c r="V50" s="46" t="n">
        <f aca="false">(U50/U$15)*50+50</f>
        <v>93.3333333333333</v>
      </c>
      <c r="W50" s="46" t="n">
        <f aca="false">V50*0.2</f>
        <v>18.6666666666667</v>
      </c>
      <c r="X50" s="45" t="n">
        <v>23</v>
      </c>
      <c r="Y50" s="46" t="n">
        <f aca="false">(X50/X$15)*50+50</f>
        <v>73</v>
      </c>
      <c r="Z50" s="46" t="n">
        <f aca="false">Y50*0.5</f>
        <v>36.5</v>
      </c>
      <c r="AA50" s="47" t="n">
        <f aca="false">SUM(Z50,W50,O50)</f>
        <v>81.0416666666667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19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19</v>
      </c>
      <c r="N51" s="46" t="n">
        <f aca="false">(M51/M$15)*50+50</f>
        <v>73.75</v>
      </c>
      <c r="O51" s="48" t="n">
        <f aca="false">N51*0.3</f>
        <v>22.125</v>
      </c>
      <c r="P51" s="45"/>
      <c r="Q51" s="45" t="n">
        <v>88</v>
      </c>
      <c r="R51" s="45"/>
      <c r="S51" s="45"/>
      <c r="T51" s="45"/>
      <c r="U51" s="46" t="n">
        <f aca="false">SUMIF(P51:T51,"&lt;&gt;",P51:T51)</f>
        <v>88</v>
      </c>
      <c r="V51" s="46" t="n">
        <f aca="false">(U51/U$15)*50+50</f>
        <v>79.3333333333333</v>
      </c>
      <c r="W51" s="46" t="n">
        <f aca="false">V51*0.2</f>
        <v>15.8666666666667</v>
      </c>
      <c r="X51" s="45" t="n">
        <v>45</v>
      </c>
      <c r="Y51" s="46" t="n">
        <f aca="false">(X51/X$15)*50+50</f>
        <v>95</v>
      </c>
      <c r="Z51" s="46" t="n">
        <f aca="false">Y51*0.5</f>
        <v>47.5</v>
      </c>
      <c r="AA51" s="47" t="n">
        <f aca="false">SUM(Z51,W51,O51)</f>
        <v>85.4916666666667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10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10</v>
      </c>
      <c r="N52" s="46" t="n">
        <f aca="false">(M52/M$15)*50+50</f>
        <v>62.5</v>
      </c>
      <c r="O52" s="48" t="n">
        <f aca="false">N52*0.3</f>
        <v>18.75</v>
      </c>
      <c r="P52" s="45"/>
      <c r="Q52" s="45" t="n">
        <v>88</v>
      </c>
      <c r="R52" s="45"/>
      <c r="S52" s="45"/>
      <c r="T52" s="45"/>
      <c r="U52" s="46" t="n">
        <f aca="false">SUMIF(P52:T52,"&lt;&gt;",P52:T52)</f>
        <v>88</v>
      </c>
      <c r="V52" s="46" t="n">
        <f aca="false">(U52/U$15)*50+50</f>
        <v>79.3333333333333</v>
      </c>
      <c r="W52" s="46" t="n">
        <f aca="false">V52*0.2</f>
        <v>15.8666666666667</v>
      </c>
      <c r="X52" s="45" t="n">
        <v>44</v>
      </c>
      <c r="Y52" s="46" t="n">
        <f aca="false">(X52/X$15)*50+50</f>
        <v>94</v>
      </c>
      <c r="Z52" s="46" t="n">
        <f aca="false">Y52*0.5</f>
        <v>47</v>
      </c>
      <c r="AA52" s="47" t="n">
        <f aca="false">SUM(Z52,W52,O52)</f>
        <v>81.6166666666667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0</v>
      </c>
      <c r="N53" s="46" t="n">
        <f aca="false">(M53/M$15)*50+50</f>
        <v>50</v>
      </c>
      <c r="O53" s="48" t="n">
        <f aca="false">N53*0.3</f>
        <v>15</v>
      </c>
      <c r="P53" s="45"/>
      <c r="Q53" s="45" t="n">
        <v>80</v>
      </c>
      <c r="R53" s="45"/>
      <c r="S53" s="45"/>
      <c r="T53" s="45"/>
      <c r="U53" s="46" t="n">
        <f aca="false">SUMIF(P53:T53,"&lt;&gt;",P53:T53)</f>
        <v>80</v>
      </c>
      <c r="V53" s="46" t="n">
        <f aca="false">(U53/U$15)*50+50</f>
        <v>76.6666666666667</v>
      </c>
      <c r="W53" s="46" t="n">
        <f aca="false">V53*0.2</f>
        <v>15.3333333333333</v>
      </c>
      <c r="X53" s="45" t="n">
        <v>41</v>
      </c>
      <c r="Y53" s="46" t="n">
        <f aca="false">(X53/X$15)*50+50</f>
        <v>91</v>
      </c>
      <c r="Z53" s="46" t="n">
        <f aca="false">Y53*0.5</f>
        <v>45.5</v>
      </c>
      <c r="AA53" s="47" t="n">
        <f aca="false">SUM(Z53,W53,O53)</f>
        <v>75.8333333333333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11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11</v>
      </c>
      <c r="N54" s="46" t="n">
        <f aca="false">(M54/M$15)*50+50</f>
        <v>63.75</v>
      </c>
      <c r="O54" s="48" t="n">
        <f aca="false">N54*0.3</f>
        <v>19.125</v>
      </c>
      <c r="P54" s="45"/>
      <c r="Q54" s="45" t="n">
        <v>80</v>
      </c>
      <c r="R54" s="45"/>
      <c r="S54" s="45"/>
      <c r="T54" s="45"/>
      <c r="U54" s="46" t="n">
        <f aca="false">SUMIF(P54:T54,"&lt;&gt;",P54:T54)</f>
        <v>80</v>
      </c>
      <c r="V54" s="46" t="n">
        <f aca="false">(U54/U$15)*50+50</f>
        <v>76.6666666666667</v>
      </c>
      <c r="W54" s="46" t="n">
        <f aca="false">V54*0.2</f>
        <v>15.3333333333333</v>
      </c>
      <c r="X54" s="45" t="n">
        <v>38</v>
      </c>
      <c r="Y54" s="46" t="n">
        <f aca="false">(X54/X$15)*50+50</f>
        <v>88</v>
      </c>
      <c r="Z54" s="46" t="n">
        <f aca="false">Y54*0.5</f>
        <v>44</v>
      </c>
      <c r="AA54" s="47" t="n">
        <f aca="false">SUM(Z54,W54,O54)</f>
        <v>78.4583333333333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19</v>
      </c>
      <c r="D55" s="45" t="n">
        <v>20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39</v>
      </c>
      <c r="N55" s="46" t="n">
        <f aca="false">(M55/M$15)*50+50</f>
        <v>98.75</v>
      </c>
      <c r="O55" s="48" t="n">
        <f aca="false">N55*0.3</f>
        <v>29.625</v>
      </c>
      <c r="P55" s="45" t="n">
        <v>50</v>
      </c>
      <c r="Q55" s="45" t="n">
        <v>89</v>
      </c>
      <c r="R55" s="45"/>
      <c r="S55" s="45"/>
      <c r="T55" s="45"/>
      <c r="U55" s="46" t="n">
        <f aca="false">SUMIF(P55:T55,"&lt;&gt;",P55:T55)</f>
        <v>139</v>
      </c>
      <c r="V55" s="46" t="n">
        <f aca="false">(U55/U$15)*50+50</f>
        <v>96.3333333333333</v>
      </c>
      <c r="W55" s="46" t="n">
        <f aca="false">V55*0.2</f>
        <v>19.2666666666667</v>
      </c>
      <c r="X55" s="45" t="n">
        <v>42</v>
      </c>
      <c r="Y55" s="46" t="n">
        <f aca="false">(X55/X$15)*50+50</f>
        <v>92</v>
      </c>
      <c r="Z55" s="46" t="n">
        <f aca="false">Y55*0.5</f>
        <v>46</v>
      </c>
      <c r="AA55" s="47" t="n">
        <f aca="false">SUM(Z55,W55,O55)</f>
        <v>94.8916666666667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9</v>
      </c>
      <c r="D56" s="45" t="n">
        <v>17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26</v>
      </c>
      <c r="N56" s="46" t="n">
        <f aca="false">(M56/M$15)*50+50</f>
        <v>82.5</v>
      </c>
      <c r="O56" s="48" t="n">
        <f aca="false">N56*0.3</f>
        <v>24.75</v>
      </c>
      <c r="P56" s="45"/>
      <c r="Q56" s="45" t="n">
        <v>84</v>
      </c>
      <c r="R56" s="45"/>
      <c r="S56" s="45"/>
      <c r="T56" s="45"/>
      <c r="U56" s="46" t="n">
        <f aca="false">SUMIF(P56:T56,"&lt;&gt;",P56:T56)</f>
        <v>84</v>
      </c>
      <c r="V56" s="46" t="n">
        <f aca="false">(U56/U$15)*50+50</f>
        <v>78</v>
      </c>
      <c r="W56" s="46" t="n">
        <f aca="false">V56*0.2</f>
        <v>15.6</v>
      </c>
      <c r="X56" s="45" t="n">
        <v>27</v>
      </c>
      <c r="Y56" s="46" t="n">
        <f aca="false">(X56/X$15)*50+50</f>
        <v>77</v>
      </c>
      <c r="Z56" s="46" t="n">
        <f aca="false">Y56*0.5</f>
        <v>38.5</v>
      </c>
      <c r="AA56" s="47" t="n">
        <f aca="false">SUM(Z56,W56,O56)</f>
        <v>78.85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 t="n">
        <v>40</v>
      </c>
      <c r="Y57" s="46" t="n">
        <f aca="false">(X57/X$15)*50+50</f>
        <v>90</v>
      </c>
      <c r="Z57" s="46" t="n">
        <f aca="false">Y57*0.5</f>
        <v>45</v>
      </c>
      <c r="AA57" s="47" t="n">
        <f aca="false">SUM(Z57,W57,O57)</f>
        <v>70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11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11</v>
      </c>
      <c r="N58" s="46" t="n">
        <f aca="false">(M58/M$15)*50+50</f>
        <v>63.75</v>
      </c>
      <c r="O58" s="48" t="n">
        <f aca="false">N58*0.3</f>
        <v>19.125</v>
      </c>
      <c r="P58" s="45"/>
      <c r="Q58" s="45" t="n">
        <v>89</v>
      </c>
      <c r="R58" s="45"/>
      <c r="S58" s="45"/>
      <c r="T58" s="45"/>
      <c r="U58" s="46" t="n">
        <f aca="false">SUMIF(P58:T58,"&lt;&gt;",P58:T58)</f>
        <v>89</v>
      </c>
      <c r="V58" s="46" t="n">
        <f aca="false">(U58/U$15)*50+50</f>
        <v>79.6666666666667</v>
      </c>
      <c r="W58" s="46" t="n">
        <f aca="false">V58*0.2</f>
        <v>15.9333333333333</v>
      </c>
      <c r="X58" s="45" t="n">
        <v>43</v>
      </c>
      <c r="Y58" s="46" t="n">
        <f aca="false">(X58/X$15)*50+50</f>
        <v>93</v>
      </c>
      <c r="Z58" s="46" t="n">
        <f aca="false">Y58*0.5</f>
        <v>46.5</v>
      </c>
      <c r="AA58" s="47" t="n">
        <f aca="false">SUM(Z58,W58,O58)</f>
        <v>81.5583333333333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8</v>
      </c>
      <c r="D59" s="45" t="n">
        <v>14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22</v>
      </c>
      <c r="N59" s="46" t="n">
        <f aca="false">(M59/M$15)*50+50</f>
        <v>77.5</v>
      </c>
      <c r="O59" s="48" t="n">
        <f aca="false">N59*0.3</f>
        <v>23.25</v>
      </c>
      <c r="P59" s="45" t="n">
        <v>50</v>
      </c>
      <c r="Q59" s="45" t="n">
        <v>88</v>
      </c>
      <c r="R59" s="45"/>
      <c r="S59" s="45"/>
      <c r="T59" s="45"/>
      <c r="U59" s="46" t="n">
        <f aca="false">SUMIF(P59:T59,"&lt;&gt;",P59:T59)</f>
        <v>138</v>
      </c>
      <c r="V59" s="46" t="n">
        <f aca="false">(U59/U$15)*50+50</f>
        <v>96</v>
      </c>
      <c r="W59" s="46" t="n">
        <f aca="false">V59*0.2</f>
        <v>19.2</v>
      </c>
      <c r="X59" s="45" t="n">
        <v>44</v>
      </c>
      <c r="Y59" s="46" t="n">
        <f aca="false">(X59/X$15)*50+50</f>
        <v>94</v>
      </c>
      <c r="Z59" s="46" t="n">
        <f aca="false">Y59*0.5</f>
        <v>47</v>
      </c>
      <c r="AA59" s="47" t="n">
        <f aca="false">SUM(Z59,W59,O59)</f>
        <v>89.45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6</v>
      </c>
      <c r="D60" s="45" t="n">
        <v>11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17</v>
      </c>
      <c r="N60" s="46" t="n">
        <f aca="false">(M60/M$15)*50+50</f>
        <v>71.25</v>
      </c>
      <c r="O60" s="48" t="n">
        <f aca="false">N60*0.3</f>
        <v>21.375</v>
      </c>
      <c r="P60" s="45" t="n">
        <v>50</v>
      </c>
      <c r="Q60" s="45" t="n">
        <v>84</v>
      </c>
      <c r="R60" s="45"/>
      <c r="S60" s="45"/>
      <c r="T60" s="45"/>
      <c r="U60" s="46" t="n">
        <f aca="false">SUMIF(P60:T60,"&lt;&gt;",P60:T60)</f>
        <v>134</v>
      </c>
      <c r="V60" s="46" t="n">
        <f aca="false">(U60/U$15)*50+50</f>
        <v>94.6666666666667</v>
      </c>
      <c r="W60" s="46" t="n">
        <f aca="false">V60*0.2</f>
        <v>18.9333333333333</v>
      </c>
      <c r="X60" s="45" t="n">
        <v>42</v>
      </c>
      <c r="Y60" s="46" t="n">
        <f aca="false">(X60/X$15)*50+50</f>
        <v>92</v>
      </c>
      <c r="Z60" s="46" t="n">
        <f aca="false">Y60*0.5</f>
        <v>46</v>
      </c>
      <c r="AA60" s="47" t="n">
        <f aca="false">SUM(Z60,W60,O60)</f>
        <v>86.3083333333333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9</v>
      </c>
      <c r="D61" s="45" t="n">
        <v>18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27</v>
      </c>
      <c r="N61" s="46" t="n">
        <f aca="false">(M61/M$15)*50+50</f>
        <v>83.75</v>
      </c>
      <c r="O61" s="48" t="n">
        <f aca="false">N61*0.3</f>
        <v>25.125</v>
      </c>
      <c r="P61" s="45" t="n">
        <v>50</v>
      </c>
      <c r="Q61" s="45" t="n">
        <v>89</v>
      </c>
      <c r="R61" s="45"/>
      <c r="S61" s="45"/>
      <c r="T61" s="45"/>
      <c r="U61" s="46" t="n">
        <f aca="false">SUMIF(P61:T61,"&lt;&gt;",P61:T61)</f>
        <v>139</v>
      </c>
      <c r="V61" s="46" t="n">
        <f aca="false">(U61/U$15)*50+50</f>
        <v>96.3333333333333</v>
      </c>
      <c r="W61" s="46" t="n">
        <f aca="false">V61*0.2</f>
        <v>19.2666666666667</v>
      </c>
      <c r="X61" s="45" t="n">
        <v>37</v>
      </c>
      <c r="Y61" s="46" t="n">
        <f aca="false">(X61/X$15)*50+50</f>
        <v>87</v>
      </c>
      <c r="Z61" s="46" t="n">
        <f aca="false">Y61*0.5</f>
        <v>43.5</v>
      </c>
      <c r="AA61" s="47" t="n">
        <f aca="false">SUM(Z61,W61,O61)</f>
        <v>87.8916666666667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7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7</v>
      </c>
      <c r="N62" s="46" t="n">
        <f aca="false">(M62/M$15)*50+50</f>
        <v>58.75</v>
      </c>
      <c r="O62" s="48" t="n">
        <f aca="false">N62*0.3</f>
        <v>17.625</v>
      </c>
      <c r="P62" s="45"/>
      <c r="Q62" s="45" t="n">
        <v>88</v>
      </c>
      <c r="R62" s="45"/>
      <c r="S62" s="45"/>
      <c r="T62" s="45"/>
      <c r="U62" s="46" t="n">
        <f aca="false">SUMIF(P62:T62,"&lt;&gt;",P62:T62)</f>
        <v>88</v>
      </c>
      <c r="V62" s="46" t="n">
        <f aca="false">(U62/U$15)*50+50</f>
        <v>79.3333333333333</v>
      </c>
      <c r="W62" s="46" t="n">
        <f aca="false">V62*0.2</f>
        <v>15.8666666666667</v>
      </c>
      <c r="X62" s="45" t="n">
        <v>27</v>
      </c>
      <c r="Y62" s="46" t="n">
        <f aca="false">(X62/X$15)*50+50</f>
        <v>77</v>
      </c>
      <c r="Z62" s="46" t="n">
        <f aca="false">Y62*0.5</f>
        <v>38.5</v>
      </c>
      <c r="AA62" s="47" t="n">
        <f aca="false">SUM(Z62,W62,O62)</f>
        <v>71.9916666666667</v>
      </c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15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15</v>
      </c>
      <c r="N63" s="46" t="n">
        <f aca="false">(M63/M$15)*50+50</f>
        <v>68.75</v>
      </c>
      <c r="O63" s="48" t="n">
        <f aca="false">N63*0.3</f>
        <v>20.625</v>
      </c>
      <c r="P63" s="45" t="n">
        <v>50</v>
      </c>
      <c r="Q63" s="45" t="n">
        <v>80</v>
      </c>
      <c r="R63" s="45"/>
      <c r="S63" s="45"/>
      <c r="T63" s="45"/>
      <c r="U63" s="46" t="n">
        <f aca="false">SUMIF(P63:T63,"&lt;&gt;",P63:T63)</f>
        <v>130</v>
      </c>
      <c r="V63" s="46" t="n">
        <f aca="false">(U63/U$15)*50+50</f>
        <v>93.3333333333333</v>
      </c>
      <c r="W63" s="46" t="n">
        <f aca="false">V63*0.2</f>
        <v>18.6666666666667</v>
      </c>
      <c r="X63" s="45" t="n">
        <v>40</v>
      </c>
      <c r="Y63" s="46" t="n">
        <f aca="false">(X63/X$15)*50+50</f>
        <v>90</v>
      </c>
      <c r="Z63" s="46" t="n">
        <f aca="false">Y63*0.5</f>
        <v>45</v>
      </c>
      <c r="AA63" s="47" t="n">
        <f aca="false">SUM(Z63,W63,O63)</f>
        <v>84.2916666666667</v>
      </c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ZUILO, DANIEL</v>
      </c>
      <c r="C64" s="45"/>
      <c r="D64" s="45" t="n">
        <v>20</v>
      </c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20</v>
      </c>
      <c r="N64" s="46" t="n">
        <f aca="false">(M64/M$15)*50+50</f>
        <v>75</v>
      </c>
      <c r="O64" s="48" t="n">
        <f aca="false">N64*0.3</f>
        <v>22.5</v>
      </c>
      <c r="P64" s="45" t="n">
        <v>50</v>
      </c>
      <c r="Q64" s="45" t="n">
        <v>88</v>
      </c>
      <c r="R64" s="45"/>
      <c r="S64" s="45"/>
      <c r="T64" s="45"/>
      <c r="U64" s="46" t="n">
        <f aca="false">SUMIF(P64:T64,"&lt;&gt;",P64:T64)</f>
        <v>138</v>
      </c>
      <c r="V64" s="46" t="n">
        <f aca="false">(U64/U$15)*50+50</f>
        <v>96</v>
      </c>
      <c r="W64" s="46" t="n">
        <f aca="false">V64*0.2</f>
        <v>19.2</v>
      </c>
      <c r="X64" s="45" t="n">
        <v>46</v>
      </c>
      <c r="Y64" s="46" t="n">
        <f aca="false">(X64/X$15)*50+50</f>
        <v>96</v>
      </c>
      <c r="Z64" s="46" t="n">
        <f aca="false">Y64*0.5</f>
        <v>48</v>
      </c>
      <c r="AA64" s="47" t="n">
        <f aca="false">SUM(Z64,W64,O64)</f>
        <v>89.7</v>
      </c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BASOY, TRIXIE LAURENCE</v>
      </c>
      <c r="C65" s="45"/>
      <c r="D65" s="45" t="n">
        <v>10</v>
      </c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10</v>
      </c>
      <c r="N65" s="46" t="n">
        <f aca="false">(M65/M$15)*50+50</f>
        <v>62.5</v>
      </c>
      <c r="O65" s="48" t="n">
        <f aca="false">N65*0.3</f>
        <v>18.75</v>
      </c>
      <c r="P65" s="45"/>
      <c r="Q65" s="45" t="n">
        <v>85</v>
      </c>
      <c r="R65" s="45"/>
      <c r="S65" s="45"/>
      <c r="T65" s="45"/>
      <c r="U65" s="46" t="n">
        <f aca="false">SUMIF(P65:T65,"&lt;&gt;",P65:T65)</f>
        <v>85</v>
      </c>
      <c r="V65" s="46" t="n">
        <f aca="false">(U65/U$15)*50+50</f>
        <v>78.3333333333333</v>
      </c>
      <c r="W65" s="46" t="n">
        <f aca="false">V65*0.2</f>
        <v>15.6666666666667</v>
      </c>
      <c r="X65" s="45" t="n">
        <v>35</v>
      </c>
      <c r="Y65" s="46" t="n">
        <f aca="false">(X65/X$15)*50+50</f>
        <v>85</v>
      </c>
      <c r="Z65" s="46" t="n">
        <f aca="false">Y65*0.5</f>
        <v>42.5</v>
      </c>
      <c r="AA65" s="47" t="n">
        <f aca="false">SUM(Z65,W65,O65)</f>
        <v>76.9166666666667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 t="n">
        <v>0</v>
      </c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 t="n">
        <v>0</v>
      </c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true" showOutlineSymbols="true" defaultGridColor="true" view="normal" topLeftCell="A7" colorId="64" zoomScale="60" zoomScaleNormal="60" zoomScalePageLayoutView="100" workbookViewId="0">
      <selection pane="topLeft" activeCell="X52" activeCellId="0" sqref="X52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92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93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20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100</v>
      </c>
      <c r="Q15" s="40" t="n">
        <v>50</v>
      </c>
      <c r="R15" s="40"/>
      <c r="S15" s="40"/>
      <c r="T15" s="40"/>
      <c r="U15" s="41" t="n">
        <f aca="false">SUMIF(P15:T15,"&lt;&gt;",P15:T15)</f>
        <v>150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0</v>
      </c>
      <c r="N16" s="46" t="n">
        <f aca="false">(M16/M$15)*50+50</f>
        <v>50</v>
      </c>
      <c r="O16" s="46" t="n">
        <f aca="false">N16*0.3</f>
        <v>15</v>
      </c>
      <c r="P16" s="45" t="n">
        <v>85</v>
      </c>
      <c r="Q16" s="45" t="n">
        <v>50</v>
      </c>
      <c r="R16" s="45"/>
      <c r="S16" s="45"/>
      <c r="T16" s="45"/>
      <c r="U16" s="46" t="n">
        <f aca="false">SUMIF(P16:T16,"&lt;&gt;",P16:T16)</f>
        <v>135</v>
      </c>
      <c r="V16" s="46" t="n">
        <f aca="false">(U16/U$15)*50+50</f>
        <v>95</v>
      </c>
      <c r="W16" s="46" t="n">
        <f aca="false">V16*0.2</f>
        <v>19</v>
      </c>
      <c r="X16" s="45" t="n">
        <v>42</v>
      </c>
      <c r="Y16" s="46" t="n">
        <f aca="false">(X16/X$15)*50+50</f>
        <v>92</v>
      </c>
      <c r="Z16" s="46" t="n">
        <f aca="false">Y16*0.5</f>
        <v>46</v>
      </c>
      <c r="AA16" s="47" t="n">
        <f aca="false">SUM(Z16,W16,O16)</f>
        <v>80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0</v>
      </c>
      <c r="N17" s="46" t="n">
        <f aca="false">(M17/M$15)*50+50</f>
        <v>50</v>
      </c>
      <c r="O17" s="46" t="n">
        <f aca="false">N17*0.3</f>
        <v>15</v>
      </c>
      <c r="P17" s="45" t="n">
        <v>85</v>
      </c>
      <c r="Q17" s="45"/>
      <c r="R17" s="45"/>
      <c r="S17" s="45"/>
      <c r="T17" s="45"/>
      <c r="U17" s="46" t="n">
        <f aca="false">SUMIF(P17:T17,"&lt;&gt;",P17:T17)</f>
        <v>85</v>
      </c>
      <c r="V17" s="46" t="n">
        <f aca="false">(U17/U$15)*50+50</f>
        <v>78.3333333333333</v>
      </c>
      <c r="W17" s="46" t="n">
        <f aca="false">V17*0.2</f>
        <v>15.6666666666667</v>
      </c>
      <c r="X17" s="45" t="n">
        <v>38</v>
      </c>
      <c r="Y17" s="46" t="n">
        <f aca="false">(X17/X$15)*50+50</f>
        <v>88</v>
      </c>
      <c r="Z17" s="46" t="n">
        <f aca="false">Y17*0.5</f>
        <v>44</v>
      </c>
      <c r="AA17" s="47" t="n">
        <f aca="false">SUM(Z17,W17,O17)</f>
        <v>74.6666666666667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10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10</v>
      </c>
      <c r="N18" s="46" t="n">
        <f aca="false">(M18/M$15)*50+50</f>
        <v>75</v>
      </c>
      <c r="O18" s="46" t="n">
        <f aca="false">N18*0.3</f>
        <v>22.5</v>
      </c>
      <c r="P18" s="45" t="n">
        <v>85</v>
      </c>
      <c r="Q18" s="45" t="n">
        <v>50</v>
      </c>
      <c r="R18" s="45"/>
      <c r="S18" s="45"/>
      <c r="T18" s="45"/>
      <c r="U18" s="46" t="n">
        <f aca="false">SUMIF(P18:T18,"&lt;&gt;",P18:T18)</f>
        <v>135</v>
      </c>
      <c r="V18" s="46" t="n">
        <f aca="false">(U18/U$15)*50+50</f>
        <v>95</v>
      </c>
      <c r="W18" s="46" t="n">
        <f aca="false">V18*0.2</f>
        <v>19</v>
      </c>
      <c r="X18" s="45" t="n">
        <v>37</v>
      </c>
      <c r="Y18" s="46" t="n">
        <f aca="false">(X18/X$15)*50+50</f>
        <v>87</v>
      </c>
      <c r="Z18" s="46" t="n">
        <f aca="false">Y18*0.5</f>
        <v>43.5</v>
      </c>
      <c r="AA18" s="47" t="n">
        <f aca="false">SUM(Z18,W18,O18)</f>
        <v>85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10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10</v>
      </c>
      <c r="N19" s="46" t="n">
        <f aca="false">(M19/M$15)*50+50</f>
        <v>75</v>
      </c>
      <c r="O19" s="46" t="n">
        <f aca="false">N19*0.3</f>
        <v>22.5</v>
      </c>
      <c r="P19" s="45" t="n">
        <v>85</v>
      </c>
      <c r="Q19" s="45" t="n">
        <v>50</v>
      </c>
      <c r="R19" s="45"/>
      <c r="S19" s="45"/>
      <c r="T19" s="45"/>
      <c r="U19" s="46" t="n">
        <f aca="false">SUMIF(P19:T19,"&lt;&gt;",P19:T19)</f>
        <v>135</v>
      </c>
      <c r="V19" s="46" t="n">
        <f aca="false">(U19/U$15)*50+50</f>
        <v>95</v>
      </c>
      <c r="W19" s="46" t="n">
        <f aca="false">V19*0.2</f>
        <v>19</v>
      </c>
      <c r="X19" s="45" t="n">
        <v>42</v>
      </c>
      <c r="Y19" s="46" t="n">
        <f aca="false">(X19/X$15)*50+50</f>
        <v>92</v>
      </c>
      <c r="Z19" s="46" t="n">
        <f aca="false">Y19*0.5</f>
        <v>46</v>
      </c>
      <c r="AA19" s="47" t="n">
        <f aca="false">SUM(Z19,W19,O19)</f>
        <v>87.5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16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16</v>
      </c>
      <c r="N20" s="46" t="n">
        <f aca="false">(M20/M$15)*50+50</f>
        <v>90</v>
      </c>
      <c r="O20" s="46" t="n">
        <f aca="false">N20*0.3</f>
        <v>27</v>
      </c>
      <c r="P20" s="45" t="n">
        <v>85</v>
      </c>
      <c r="Q20" s="45" t="n">
        <v>50</v>
      </c>
      <c r="R20" s="45"/>
      <c r="S20" s="45"/>
      <c r="T20" s="45"/>
      <c r="U20" s="46" t="n">
        <f aca="false">SUMIF(P20:T20,"&lt;&gt;",P20:T20)</f>
        <v>135</v>
      </c>
      <c r="V20" s="46" t="n">
        <f aca="false">(U20/U$15)*50+50</f>
        <v>95</v>
      </c>
      <c r="W20" s="46" t="n">
        <f aca="false">V20*0.2</f>
        <v>19</v>
      </c>
      <c r="X20" s="45" t="n">
        <v>47</v>
      </c>
      <c r="Y20" s="46" t="n">
        <f aca="false">(X20/X$15)*50+50</f>
        <v>97</v>
      </c>
      <c r="Z20" s="46" t="n">
        <f aca="false">Y20*0.5</f>
        <v>48.5</v>
      </c>
      <c r="AA20" s="47" t="n">
        <f aca="false">SUM(Z20,W20,O20)</f>
        <v>94.5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0</v>
      </c>
      <c r="N21" s="46" t="n">
        <f aca="false">(M21/M$15)*50+50</f>
        <v>50</v>
      </c>
      <c r="O21" s="46" t="n">
        <f aca="false">N21*0.3</f>
        <v>15</v>
      </c>
      <c r="P21" s="45" t="n">
        <v>85</v>
      </c>
      <c r="Q21" s="45"/>
      <c r="R21" s="45"/>
      <c r="S21" s="45"/>
      <c r="T21" s="45"/>
      <c r="U21" s="46" t="n">
        <f aca="false">SUMIF(P21:T21,"&lt;&gt;",P21:T21)</f>
        <v>85</v>
      </c>
      <c r="V21" s="46" t="n">
        <f aca="false">(U21/U$15)*50+50</f>
        <v>78.3333333333333</v>
      </c>
      <c r="W21" s="46" t="n">
        <f aca="false">V21*0.2</f>
        <v>15.6666666666667</v>
      </c>
      <c r="X21" s="45" t="n">
        <v>41</v>
      </c>
      <c r="Y21" s="46" t="n">
        <f aca="false">(X21/X$15)*50+50</f>
        <v>91</v>
      </c>
      <c r="Z21" s="46" t="n">
        <f aca="false">Y21*0.5</f>
        <v>45.5</v>
      </c>
      <c r="AA21" s="47" t="n">
        <f aca="false">SUM(Z21,W21,O21)</f>
        <v>76.1666666666667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12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12</v>
      </c>
      <c r="N22" s="46" t="n">
        <f aca="false">(M22/M$15)*50+50</f>
        <v>80</v>
      </c>
      <c r="O22" s="46" t="n">
        <f aca="false">N22*0.3</f>
        <v>24</v>
      </c>
      <c r="P22" s="45" t="n">
        <v>85</v>
      </c>
      <c r="Q22" s="45" t="n">
        <v>50</v>
      </c>
      <c r="R22" s="45"/>
      <c r="S22" s="45"/>
      <c r="T22" s="45"/>
      <c r="U22" s="46" t="n">
        <f aca="false">SUMIF(P22:T22,"&lt;&gt;",P22:T22)</f>
        <v>135</v>
      </c>
      <c r="V22" s="46" t="n">
        <f aca="false">(U22/U$15)*50+50</f>
        <v>95</v>
      </c>
      <c r="W22" s="46" t="n">
        <f aca="false">V22*0.2</f>
        <v>19</v>
      </c>
      <c r="X22" s="45" t="n">
        <v>46</v>
      </c>
      <c r="Y22" s="46" t="n">
        <f aca="false">(X22/X$15)*50+50</f>
        <v>96</v>
      </c>
      <c r="Z22" s="46" t="n">
        <f aca="false">Y22*0.5</f>
        <v>48</v>
      </c>
      <c r="AA22" s="47" t="n">
        <f aca="false">SUM(Z22,W22,O22)</f>
        <v>91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0</v>
      </c>
      <c r="N23" s="46" t="n">
        <f aca="false">(M23/M$15)*50+50</f>
        <v>50</v>
      </c>
      <c r="O23" s="46" t="n">
        <f aca="false">N23*0.3</f>
        <v>15</v>
      </c>
      <c r="P23" s="45" t="n">
        <v>85</v>
      </c>
      <c r="Q23" s="45"/>
      <c r="R23" s="45"/>
      <c r="S23" s="45"/>
      <c r="T23" s="45"/>
      <c r="U23" s="46" t="n">
        <f aca="false">SUMIF(P23:T23,"&lt;&gt;",P23:T23)</f>
        <v>85</v>
      </c>
      <c r="V23" s="46" t="n">
        <f aca="false">(U23/U$15)*50+50</f>
        <v>78.3333333333333</v>
      </c>
      <c r="W23" s="46" t="n">
        <f aca="false">V23*0.2</f>
        <v>15.6666666666667</v>
      </c>
      <c r="X23" s="45" t="n">
        <v>43</v>
      </c>
      <c r="Y23" s="46" t="n">
        <f aca="false">(X23/X$15)*50+50</f>
        <v>93</v>
      </c>
      <c r="Z23" s="46" t="n">
        <f aca="false">Y23*0.5</f>
        <v>46.5</v>
      </c>
      <c r="AA23" s="47" t="n">
        <f aca="false">SUM(Z23,W23,O23)</f>
        <v>77.1666666666667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12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12</v>
      </c>
      <c r="N24" s="46" t="n">
        <f aca="false">(M24/M$15)*50+50</f>
        <v>80</v>
      </c>
      <c r="O24" s="46" t="n">
        <f aca="false">N24*0.3</f>
        <v>24</v>
      </c>
      <c r="P24" s="45" t="n">
        <v>85</v>
      </c>
      <c r="Q24" s="45" t="n">
        <v>50</v>
      </c>
      <c r="R24" s="45"/>
      <c r="S24" s="45"/>
      <c r="T24" s="45"/>
      <c r="U24" s="46" t="n">
        <f aca="false">SUMIF(P24:T24,"&lt;&gt;",P24:T24)</f>
        <v>135</v>
      </c>
      <c r="V24" s="46" t="n">
        <f aca="false">(U24/U$15)*50+50</f>
        <v>95</v>
      </c>
      <c r="W24" s="46" t="n">
        <f aca="false">V24*0.2</f>
        <v>19</v>
      </c>
      <c r="X24" s="45" t="n">
        <v>45</v>
      </c>
      <c r="Y24" s="46" t="n">
        <f aca="false">(X24/X$15)*50+50</f>
        <v>95</v>
      </c>
      <c r="Z24" s="46" t="n">
        <f aca="false">Y24*0.5</f>
        <v>47.5</v>
      </c>
      <c r="AA24" s="47" t="n">
        <f aca="false">SUM(Z24,W24,O24)</f>
        <v>90.5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0</v>
      </c>
      <c r="N25" s="46" t="n">
        <f aca="false">(M25/M$15)*50+50</f>
        <v>50</v>
      </c>
      <c r="O25" s="46" t="n">
        <f aca="false">N25*0.3</f>
        <v>15</v>
      </c>
      <c r="P25" s="45" t="n">
        <v>85</v>
      </c>
      <c r="Q25" s="45"/>
      <c r="R25" s="45"/>
      <c r="S25" s="45"/>
      <c r="T25" s="45"/>
      <c r="U25" s="46" t="n">
        <f aca="false">SUMIF(P25:T25,"&lt;&gt;",P25:T25)</f>
        <v>85</v>
      </c>
      <c r="V25" s="46" t="n">
        <f aca="false">(U25/U$15)*50+50</f>
        <v>78.3333333333333</v>
      </c>
      <c r="W25" s="46" t="n">
        <f aca="false">V25*0.2</f>
        <v>15.6666666666667</v>
      </c>
      <c r="X25" s="45" t="n">
        <v>40</v>
      </c>
      <c r="Y25" s="46" t="n">
        <f aca="false">(X25/X$15)*50+50</f>
        <v>90</v>
      </c>
      <c r="Z25" s="46" t="n">
        <f aca="false">Y25*0.5</f>
        <v>45</v>
      </c>
      <c r="AA25" s="47" t="n">
        <f aca="false">SUM(Z25,W25,O25)</f>
        <v>75.6666666666667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19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19</v>
      </c>
      <c r="N26" s="46" t="n">
        <f aca="false">(M26/M$15)*50+50</f>
        <v>97.5</v>
      </c>
      <c r="O26" s="46" t="n">
        <f aca="false">N26*0.3</f>
        <v>29.25</v>
      </c>
      <c r="P26" s="45" t="n">
        <v>85</v>
      </c>
      <c r="Q26" s="45"/>
      <c r="R26" s="45"/>
      <c r="S26" s="45"/>
      <c r="T26" s="45"/>
      <c r="U26" s="46" t="n">
        <f aca="false">SUMIF(P26:T26,"&lt;&gt;",P26:T26)</f>
        <v>85</v>
      </c>
      <c r="V26" s="46" t="n">
        <f aca="false">(U26/U$15)*50+50</f>
        <v>78.3333333333333</v>
      </c>
      <c r="W26" s="46" t="n">
        <f aca="false">V26*0.2</f>
        <v>15.6666666666667</v>
      </c>
      <c r="X26" s="45" t="n">
        <v>44</v>
      </c>
      <c r="Y26" s="46" t="n">
        <f aca="false">(X26/X$15)*50+50</f>
        <v>94</v>
      </c>
      <c r="Z26" s="46" t="n">
        <f aca="false">Y26*0.5</f>
        <v>47</v>
      </c>
      <c r="AA26" s="47" t="n">
        <f aca="false">SUM(Z26,W26,O26)</f>
        <v>91.9166666666667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17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17</v>
      </c>
      <c r="N27" s="46" t="n">
        <f aca="false">(M27/M$15)*50+50</f>
        <v>92.5</v>
      </c>
      <c r="O27" s="46" t="n">
        <f aca="false">N27*0.3</f>
        <v>27.75</v>
      </c>
      <c r="P27" s="45" t="n">
        <v>85</v>
      </c>
      <c r="Q27" s="45" t="n">
        <v>50</v>
      </c>
      <c r="R27" s="45"/>
      <c r="S27" s="45"/>
      <c r="T27" s="45"/>
      <c r="U27" s="46" t="n">
        <f aca="false">SUMIF(P27:T27,"&lt;&gt;",P27:T27)</f>
        <v>135</v>
      </c>
      <c r="V27" s="46" t="n">
        <f aca="false">(U27/U$15)*50+50</f>
        <v>95</v>
      </c>
      <c r="W27" s="46" t="n">
        <f aca="false">V27*0.2</f>
        <v>19</v>
      </c>
      <c r="X27" s="45" t="n">
        <v>45</v>
      </c>
      <c r="Y27" s="46" t="n">
        <f aca="false">(X27/X$15)*50+50</f>
        <v>95</v>
      </c>
      <c r="Z27" s="46" t="n">
        <f aca="false">Y27*0.5</f>
        <v>47.5</v>
      </c>
      <c r="AA27" s="47" t="n">
        <f aca="false">SUM(Z27,W27,O27)</f>
        <v>94.25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 t="n">
        <v>85</v>
      </c>
      <c r="Q28" s="45"/>
      <c r="R28" s="45"/>
      <c r="S28" s="45"/>
      <c r="T28" s="45"/>
      <c r="U28" s="46" t="n">
        <f aca="false">SUMIF(P28:T28,"&lt;&gt;",P28:T28)</f>
        <v>85</v>
      </c>
      <c r="V28" s="46" t="n">
        <f aca="false">(U28/U$15)*50+50</f>
        <v>78.3333333333333</v>
      </c>
      <c r="W28" s="46" t="n">
        <f aca="false">V28*0.2</f>
        <v>15.6666666666667</v>
      </c>
      <c r="X28" s="45" t="n">
        <v>34</v>
      </c>
      <c r="Y28" s="46" t="n">
        <f aca="false">(X28/X$15)*50+50</f>
        <v>84</v>
      </c>
      <c r="Z28" s="46" t="n">
        <f aca="false">Y28*0.5</f>
        <v>42</v>
      </c>
      <c r="AA28" s="47" t="n">
        <v>75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 t="n">
        <v>15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15</v>
      </c>
      <c r="N29" s="46" t="n">
        <f aca="false">(M29/M$15)*50+50</f>
        <v>87.5</v>
      </c>
      <c r="O29" s="46" t="n">
        <f aca="false">N29*0.3</f>
        <v>26.25</v>
      </c>
      <c r="P29" s="45" t="n">
        <v>85</v>
      </c>
      <c r="Q29" s="45"/>
      <c r="R29" s="45"/>
      <c r="S29" s="45"/>
      <c r="T29" s="45"/>
      <c r="U29" s="46" t="n">
        <f aca="false">SUMIF(P29:T29,"&lt;&gt;",P29:T29)</f>
        <v>85</v>
      </c>
      <c r="V29" s="46" t="n">
        <f aca="false">(U29/U$15)*50+50</f>
        <v>78.3333333333333</v>
      </c>
      <c r="W29" s="46" t="n">
        <f aca="false">V29*0.2</f>
        <v>15.6666666666667</v>
      </c>
      <c r="X29" s="45" t="n">
        <v>36</v>
      </c>
      <c r="Y29" s="46" t="n">
        <f aca="false">(X29/X$15)*50+50</f>
        <v>86</v>
      </c>
      <c r="Z29" s="46" t="n">
        <f aca="false">Y29*0.5</f>
        <v>43</v>
      </c>
      <c r="AA29" s="47" t="n">
        <f aca="false">SUM(Z29,W29,O29)</f>
        <v>84.9166666666667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14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14</v>
      </c>
      <c r="N30" s="46" t="n">
        <f aca="false">(M30/M$15)*50+50</f>
        <v>85</v>
      </c>
      <c r="O30" s="46" t="n">
        <f aca="false">N30*0.3</f>
        <v>25.5</v>
      </c>
      <c r="P30" s="45" t="n">
        <v>85</v>
      </c>
      <c r="Q30" s="45"/>
      <c r="R30" s="45"/>
      <c r="S30" s="45"/>
      <c r="T30" s="45"/>
      <c r="U30" s="46" t="n">
        <f aca="false">SUMIF(P30:T30,"&lt;&gt;",P30:T30)</f>
        <v>85</v>
      </c>
      <c r="V30" s="46" t="n">
        <f aca="false">(U30/U$15)*50+50</f>
        <v>78.3333333333333</v>
      </c>
      <c r="W30" s="46" t="n">
        <f aca="false">V30*0.2</f>
        <v>15.6666666666667</v>
      </c>
      <c r="X30" s="45" t="n">
        <v>43</v>
      </c>
      <c r="Y30" s="46" t="n">
        <f aca="false">(X30/X$15)*50+50</f>
        <v>93</v>
      </c>
      <c r="Z30" s="46" t="n">
        <f aca="false">Y30*0.5</f>
        <v>46.5</v>
      </c>
      <c r="AA30" s="47" t="n">
        <f aca="false">SUM(Z30,W30,O30)</f>
        <v>87.6666666666667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0</v>
      </c>
      <c r="N31" s="46" t="n">
        <f aca="false">(M31/M$15)*50+50</f>
        <v>50</v>
      </c>
      <c r="O31" s="46" t="n">
        <f aca="false">N31*0.3</f>
        <v>15</v>
      </c>
      <c r="P31" s="45" t="n">
        <v>85</v>
      </c>
      <c r="Q31" s="45" t="n">
        <v>50</v>
      </c>
      <c r="R31" s="45"/>
      <c r="S31" s="45"/>
      <c r="T31" s="45"/>
      <c r="U31" s="46" t="n">
        <f aca="false">SUMIF(P31:T31,"&lt;&gt;",P31:T31)</f>
        <v>135</v>
      </c>
      <c r="V31" s="46" t="n">
        <f aca="false">(U31/U$15)*50+50</f>
        <v>95</v>
      </c>
      <c r="W31" s="46" t="n">
        <f aca="false">V31*0.2</f>
        <v>19</v>
      </c>
      <c r="X31" s="45" t="n">
        <v>43</v>
      </c>
      <c r="Y31" s="46" t="n">
        <f aca="false">(X31/X$15)*50+50</f>
        <v>93</v>
      </c>
      <c r="Z31" s="46" t="n">
        <f aca="false">Y31*0.5</f>
        <v>46.5</v>
      </c>
      <c r="AA31" s="47" t="n">
        <f aca="false">SUM(Z31,W31,O31)</f>
        <v>80.5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19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19</v>
      </c>
      <c r="N32" s="46" t="n">
        <f aca="false">(M32/M$15)*50+50</f>
        <v>97.5</v>
      </c>
      <c r="O32" s="46" t="n">
        <f aca="false">N32*0.3</f>
        <v>29.25</v>
      </c>
      <c r="P32" s="45" t="n">
        <v>85</v>
      </c>
      <c r="Q32" s="45" t="n">
        <v>50</v>
      </c>
      <c r="R32" s="45"/>
      <c r="S32" s="45"/>
      <c r="T32" s="45"/>
      <c r="U32" s="46" t="n">
        <f aca="false">SUMIF(P32:T32,"&lt;&gt;",P32:T32)</f>
        <v>135</v>
      </c>
      <c r="V32" s="46" t="n">
        <f aca="false">(U32/U$15)*50+50</f>
        <v>95</v>
      </c>
      <c r="W32" s="46" t="n">
        <f aca="false">V32*0.2</f>
        <v>19</v>
      </c>
      <c r="X32" s="45" t="n">
        <v>39</v>
      </c>
      <c r="Y32" s="46" t="n">
        <f aca="false">(X32/X$15)*50+50</f>
        <v>89</v>
      </c>
      <c r="Z32" s="46" t="n">
        <f aca="false">Y32*0.5</f>
        <v>44.5</v>
      </c>
      <c r="AA32" s="47" t="n">
        <f aca="false">SUM(Z32,W32,O32)</f>
        <v>92.75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18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18</v>
      </c>
      <c r="N33" s="46" t="n">
        <f aca="false">(M33/M$15)*50+50</f>
        <v>95</v>
      </c>
      <c r="O33" s="46" t="n">
        <f aca="false">N33*0.3</f>
        <v>28.5</v>
      </c>
      <c r="P33" s="45" t="n">
        <v>85</v>
      </c>
      <c r="Q33" s="45" t="n">
        <v>50</v>
      </c>
      <c r="R33" s="45"/>
      <c r="S33" s="45"/>
      <c r="T33" s="45"/>
      <c r="U33" s="46" t="n">
        <f aca="false">SUMIF(P33:T33,"&lt;&gt;",P33:T33)</f>
        <v>135</v>
      </c>
      <c r="V33" s="46" t="n">
        <f aca="false">(U33/U$15)*50+50</f>
        <v>95</v>
      </c>
      <c r="W33" s="46" t="n">
        <f aca="false">V33*0.2</f>
        <v>19</v>
      </c>
      <c r="X33" s="45" t="n">
        <v>45</v>
      </c>
      <c r="Y33" s="46" t="n">
        <f aca="false">(X33/X$15)*50+50</f>
        <v>95</v>
      </c>
      <c r="Z33" s="46" t="n">
        <f aca="false">Y33*0.5</f>
        <v>47.5</v>
      </c>
      <c r="AA33" s="47" t="n">
        <f aca="false">SUM(Z33,W33,O33)</f>
        <v>95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17</v>
      </c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17</v>
      </c>
      <c r="N34" s="46" t="n">
        <f aca="false">(M34/M$15)*50+50</f>
        <v>92.5</v>
      </c>
      <c r="O34" s="46" t="n">
        <f aca="false">N34*0.3</f>
        <v>27.75</v>
      </c>
      <c r="P34" s="45" t="n">
        <v>85</v>
      </c>
      <c r="Q34" s="45"/>
      <c r="R34" s="45"/>
      <c r="S34" s="45"/>
      <c r="T34" s="45"/>
      <c r="U34" s="46" t="n">
        <f aca="false">SUMIF(P34:T34,"&lt;&gt;",P34:T34)</f>
        <v>85</v>
      </c>
      <c r="V34" s="46" t="n">
        <f aca="false">(U34/U$15)*50+50</f>
        <v>78.3333333333333</v>
      </c>
      <c r="W34" s="46" t="n">
        <f aca="false">V34*0.2</f>
        <v>15.6666666666667</v>
      </c>
      <c r="X34" s="45" t="n">
        <v>45</v>
      </c>
      <c r="Y34" s="46" t="n">
        <f aca="false">(X34/X$15)*50+50</f>
        <v>95</v>
      </c>
      <c r="Z34" s="46" t="n">
        <f aca="false">Y34*0.5</f>
        <v>47.5</v>
      </c>
      <c r="AA34" s="47" t="n">
        <f aca="false">SUM(Z34,W34,O34)</f>
        <v>90.9166666666667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17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17</v>
      </c>
      <c r="N35" s="46" t="n">
        <f aca="false">(M35/M$15)*50+50</f>
        <v>92.5</v>
      </c>
      <c r="O35" s="46" t="n">
        <f aca="false">N35*0.3</f>
        <v>27.75</v>
      </c>
      <c r="P35" s="45" t="n">
        <v>85</v>
      </c>
      <c r="Q35" s="45" t="n">
        <v>50</v>
      </c>
      <c r="R35" s="45"/>
      <c r="S35" s="45"/>
      <c r="T35" s="45"/>
      <c r="U35" s="46" t="n">
        <f aca="false">SUMIF(P35:T35,"&lt;&gt;",P35:T35)</f>
        <v>135</v>
      </c>
      <c r="V35" s="46" t="n">
        <f aca="false">(U35/U$15)*50+50</f>
        <v>95</v>
      </c>
      <c r="W35" s="46" t="n">
        <f aca="false">V35*0.2</f>
        <v>19</v>
      </c>
      <c r="X35" s="45" t="n">
        <v>37</v>
      </c>
      <c r="Y35" s="46" t="n">
        <f aca="false">(X35/X$15)*50+50</f>
        <v>87</v>
      </c>
      <c r="Z35" s="46" t="n">
        <f aca="false">Y35*0.5</f>
        <v>43.5</v>
      </c>
      <c r="AA35" s="47" t="n">
        <f aca="false">SUM(Z35,W35,O35)</f>
        <v>90.25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 t="n">
        <v>8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8</v>
      </c>
      <c r="N36" s="46" t="n">
        <f aca="false">(M36/M$15)*50+50</f>
        <v>70</v>
      </c>
      <c r="O36" s="46" t="n">
        <f aca="false">N36*0.3</f>
        <v>21</v>
      </c>
      <c r="P36" s="45" t="n">
        <v>85</v>
      </c>
      <c r="Q36" s="45" t="n">
        <v>50</v>
      </c>
      <c r="R36" s="45"/>
      <c r="S36" s="45"/>
      <c r="T36" s="45"/>
      <c r="U36" s="46" t="n">
        <f aca="false">SUMIF(P36:T36,"&lt;&gt;",P36:T36)</f>
        <v>135</v>
      </c>
      <c r="V36" s="46" t="n">
        <f aca="false">(U36/U$15)*50+50</f>
        <v>95</v>
      </c>
      <c r="W36" s="46" t="n">
        <f aca="false">V36*0.2</f>
        <v>19</v>
      </c>
      <c r="X36" s="45" t="n">
        <v>44</v>
      </c>
      <c r="Y36" s="46" t="n">
        <f aca="false">(X36/X$15)*50+50</f>
        <v>94</v>
      </c>
      <c r="Z36" s="46" t="n">
        <f aca="false">Y36*0.5</f>
        <v>47</v>
      </c>
      <c r="AA36" s="47" t="n">
        <f aca="false">SUM(Z36,W36,O36)</f>
        <v>87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12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12</v>
      </c>
      <c r="N37" s="46" t="n">
        <f aca="false">(M37/M$15)*50+50</f>
        <v>80</v>
      </c>
      <c r="O37" s="46" t="n">
        <f aca="false">N37*0.3</f>
        <v>24</v>
      </c>
      <c r="P37" s="45" t="n">
        <v>85</v>
      </c>
      <c r="Q37" s="45" t="n">
        <v>50</v>
      </c>
      <c r="R37" s="45"/>
      <c r="S37" s="45"/>
      <c r="T37" s="45"/>
      <c r="U37" s="46" t="n">
        <f aca="false">SUMIF(P37:T37,"&lt;&gt;",P37:T37)</f>
        <v>135</v>
      </c>
      <c r="V37" s="46" t="n">
        <f aca="false">(U37/U$15)*50+50</f>
        <v>95</v>
      </c>
      <c r="W37" s="46" t="n">
        <f aca="false">V37*0.2</f>
        <v>19</v>
      </c>
      <c r="X37" s="45" t="n">
        <v>45</v>
      </c>
      <c r="Y37" s="46" t="n">
        <f aca="false">(X37/X$15)*50+50</f>
        <v>95</v>
      </c>
      <c r="Z37" s="46" t="n">
        <f aca="false">Y37*0.5</f>
        <v>47.5</v>
      </c>
      <c r="AA37" s="47" t="n">
        <f aca="false">SUM(Z37,W37,O37)</f>
        <v>90.5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0</v>
      </c>
      <c r="N38" s="46" t="n">
        <f aca="false">(M38/M$15)*50+50</f>
        <v>50</v>
      </c>
      <c r="O38" s="46" t="n">
        <f aca="false">N38*0.3</f>
        <v>15</v>
      </c>
      <c r="P38" s="45" t="n">
        <v>85</v>
      </c>
      <c r="Q38" s="45"/>
      <c r="R38" s="45"/>
      <c r="S38" s="45"/>
      <c r="T38" s="45"/>
      <c r="U38" s="46" t="n">
        <f aca="false">SUMIF(P38:T38,"&lt;&gt;",P38:T38)</f>
        <v>85</v>
      </c>
      <c r="V38" s="46" t="n">
        <f aca="false">(U38/U$15)*50+50</f>
        <v>78.3333333333333</v>
      </c>
      <c r="W38" s="46" t="n">
        <f aca="false">V38*0.2</f>
        <v>15.6666666666667</v>
      </c>
      <c r="X38" s="45" t="n">
        <v>36</v>
      </c>
      <c r="Y38" s="46" t="n">
        <f aca="false">(X38/X$15)*50+50</f>
        <v>86</v>
      </c>
      <c r="Z38" s="46" t="n">
        <f aca="false">Y38*0.5</f>
        <v>43</v>
      </c>
      <c r="AA38" s="47" t="n">
        <f aca="false">SUM(Z38,W38,O38)</f>
        <v>73.6666666666667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17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17</v>
      </c>
      <c r="N39" s="46" t="n">
        <f aca="false">(M39/M$15)*50+50</f>
        <v>92.5</v>
      </c>
      <c r="O39" s="46" t="n">
        <f aca="false">N39*0.3</f>
        <v>27.75</v>
      </c>
      <c r="P39" s="45" t="n">
        <v>85</v>
      </c>
      <c r="Q39" s="45" t="n">
        <v>50</v>
      </c>
      <c r="R39" s="45"/>
      <c r="S39" s="45"/>
      <c r="T39" s="45"/>
      <c r="U39" s="46" t="n">
        <f aca="false">SUMIF(P39:T39,"&lt;&gt;",P39:T39)</f>
        <v>135</v>
      </c>
      <c r="V39" s="46" t="n">
        <f aca="false">(U39/U$15)*50+50</f>
        <v>95</v>
      </c>
      <c r="W39" s="46" t="n">
        <f aca="false">V39*0.2</f>
        <v>19</v>
      </c>
      <c r="X39" s="45" t="n">
        <v>39</v>
      </c>
      <c r="Y39" s="46" t="n">
        <f aca="false">(X39/X$15)*50+50</f>
        <v>89</v>
      </c>
      <c r="Z39" s="46" t="n">
        <f aca="false">Y39*0.5</f>
        <v>44.5</v>
      </c>
      <c r="AA39" s="47" t="n">
        <f aca="false">SUM(Z39,W39,O39)</f>
        <v>91.25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15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15</v>
      </c>
      <c r="N40" s="46" t="n">
        <f aca="false">(M40/M$15)*50+50</f>
        <v>87.5</v>
      </c>
      <c r="O40" s="46" t="n">
        <f aca="false">N40*0.3</f>
        <v>26.25</v>
      </c>
      <c r="P40" s="45" t="n">
        <v>85</v>
      </c>
      <c r="Q40" s="45" t="n">
        <v>50</v>
      </c>
      <c r="R40" s="45"/>
      <c r="S40" s="45"/>
      <c r="T40" s="45"/>
      <c r="U40" s="46" t="n">
        <f aca="false">SUMIF(P40:T40,"&lt;&gt;",P40:T40)</f>
        <v>135</v>
      </c>
      <c r="V40" s="46" t="n">
        <f aca="false">(U40/U$15)*50+50</f>
        <v>95</v>
      </c>
      <c r="W40" s="46" t="n">
        <f aca="false">V40*0.2</f>
        <v>19</v>
      </c>
      <c r="X40" s="45" t="n">
        <v>37</v>
      </c>
      <c r="Y40" s="46" t="n">
        <f aca="false">(X40/X$15)*50+50</f>
        <v>87</v>
      </c>
      <c r="Z40" s="46" t="n">
        <f aca="false">Y40*0.5</f>
        <v>43.5</v>
      </c>
      <c r="AA40" s="47" t="n">
        <f aca="false">SUM(Z40,W40,O40)</f>
        <v>88.75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14</v>
      </c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14</v>
      </c>
      <c r="N41" s="46" t="n">
        <f aca="false">(M41/M$15)*50+50</f>
        <v>85</v>
      </c>
      <c r="O41" s="46" t="n">
        <f aca="false">N41*0.3</f>
        <v>25.5</v>
      </c>
      <c r="P41" s="45" t="n">
        <v>85</v>
      </c>
      <c r="Q41" s="45" t="n">
        <v>50</v>
      </c>
      <c r="R41" s="45"/>
      <c r="S41" s="45"/>
      <c r="T41" s="45"/>
      <c r="U41" s="46" t="n">
        <f aca="false">SUMIF(P41:T41,"&lt;&gt;",P41:T41)</f>
        <v>135</v>
      </c>
      <c r="V41" s="46" t="n">
        <f aca="false">(U41/U$15)*50+50</f>
        <v>95</v>
      </c>
      <c r="W41" s="46" t="n">
        <f aca="false">V41*0.2</f>
        <v>19</v>
      </c>
      <c r="X41" s="45" t="n">
        <v>39</v>
      </c>
      <c r="Y41" s="46" t="n">
        <f aca="false">(X41/X$15)*50+50</f>
        <v>89</v>
      </c>
      <c r="Z41" s="46" t="n">
        <f aca="false">Y41*0.5</f>
        <v>44.5</v>
      </c>
      <c r="AA41" s="47" t="n">
        <f aca="false">SUM(Z41,W41,O41)</f>
        <v>89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0</v>
      </c>
      <c r="N42" s="46" t="n">
        <f aca="false">(M42/M$15)*50+50</f>
        <v>50</v>
      </c>
      <c r="O42" s="46" t="n">
        <f aca="false">N42*0.3</f>
        <v>15</v>
      </c>
      <c r="P42" s="45" t="n">
        <v>85</v>
      </c>
      <c r="Q42" s="45"/>
      <c r="R42" s="45"/>
      <c r="S42" s="45"/>
      <c r="T42" s="45"/>
      <c r="U42" s="46" t="n">
        <f aca="false">SUMIF(P42:T42,"&lt;&gt;",P42:T42)</f>
        <v>85</v>
      </c>
      <c r="V42" s="46" t="n">
        <f aca="false">(U42/U$15)*50+50</f>
        <v>78.3333333333333</v>
      </c>
      <c r="W42" s="46" t="n">
        <f aca="false">V42*0.2</f>
        <v>15.6666666666667</v>
      </c>
      <c r="X42" s="45" t="n">
        <v>46</v>
      </c>
      <c r="Y42" s="46" t="n">
        <f aca="false">(X42/X$15)*50+50</f>
        <v>96</v>
      </c>
      <c r="Z42" s="46" t="n">
        <f aca="false">Y42*0.5</f>
        <v>48</v>
      </c>
      <c r="AA42" s="47" t="n">
        <f aca="false">SUM(Z42,W42,O42)</f>
        <v>78.6666666666667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17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17</v>
      </c>
      <c r="N43" s="46" t="n">
        <f aca="false">(M43/M$15)*50+50</f>
        <v>92.5</v>
      </c>
      <c r="O43" s="46" t="n">
        <f aca="false">N43*0.3</f>
        <v>27.75</v>
      </c>
      <c r="P43" s="45" t="n">
        <v>85</v>
      </c>
      <c r="Q43" s="45" t="n">
        <v>50</v>
      </c>
      <c r="R43" s="45"/>
      <c r="S43" s="45"/>
      <c r="T43" s="45"/>
      <c r="U43" s="46" t="n">
        <f aca="false">SUMIF(P43:T43,"&lt;&gt;",P43:T43)</f>
        <v>135</v>
      </c>
      <c r="V43" s="46" t="n">
        <f aca="false">(U43/U$15)*50+50</f>
        <v>95</v>
      </c>
      <c r="W43" s="46" t="n">
        <f aca="false">V43*0.2</f>
        <v>19</v>
      </c>
      <c r="X43" s="45" t="n">
        <v>32</v>
      </c>
      <c r="Y43" s="46" t="n">
        <f aca="false">(X43/X$15)*50+50</f>
        <v>82</v>
      </c>
      <c r="Z43" s="46" t="n">
        <f aca="false">Y43*0.5</f>
        <v>41</v>
      </c>
      <c r="AA43" s="47" t="n">
        <f aca="false">SUM(Z43,W43,O43)</f>
        <v>87.75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17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17</v>
      </c>
      <c r="N44" s="46" t="n">
        <f aca="false">(M44/M$15)*50+50</f>
        <v>92.5</v>
      </c>
      <c r="O44" s="46" t="n">
        <f aca="false">N44*0.3</f>
        <v>27.75</v>
      </c>
      <c r="P44" s="45" t="n">
        <v>85</v>
      </c>
      <c r="Q44" s="45" t="n">
        <v>50</v>
      </c>
      <c r="R44" s="45"/>
      <c r="S44" s="45"/>
      <c r="T44" s="45"/>
      <c r="U44" s="46" t="n">
        <f aca="false">SUMIF(P44:T44,"&lt;&gt;",P44:T44)</f>
        <v>135</v>
      </c>
      <c r="V44" s="46" t="n">
        <f aca="false">(U44/U$15)*50+50</f>
        <v>95</v>
      </c>
      <c r="W44" s="46" t="n">
        <f aca="false">V44*0.2</f>
        <v>19</v>
      </c>
      <c r="X44" s="45" t="n">
        <v>47</v>
      </c>
      <c r="Y44" s="46" t="n">
        <f aca="false">(X44/X$15)*50+50</f>
        <v>97</v>
      </c>
      <c r="Z44" s="46" t="n">
        <f aca="false">Y44*0.5</f>
        <v>48.5</v>
      </c>
      <c r="AA44" s="47" t="n">
        <f aca="false">SUM(Z44,W44,O44)</f>
        <v>95.25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11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11</v>
      </c>
      <c r="N45" s="46" t="n">
        <f aca="false">(M45/M$15)*50+50</f>
        <v>77.5</v>
      </c>
      <c r="O45" s="46" t="n">
        <f aca="false">N45*0.3</f>
        <v>23.25</v>
      </c>
      <c r="P45" s="45" t="n">
        <v>85</v>
      </c>
      <c r="Q45" s="45" t="n">
        <v>50</v>
      </c>
      <c r="R45" s="45"/>
      <c r="S45" s="45"/>
      <c r="T45" s="45"/>
      <c r="U45" s="46" t="n">
        <f aca="false">SUMIF(P45:T45,"&lt;&gt;",P45:T45)</f>
        <v>135</v>
      </c>
      <c r="V45" s="46" t="n">
        <f aca="false">(U45/U$15)*50+50</f>
        <v>95</v>
      </c>
      <c r="W45" s="46" t="n">
        <f aca="false">V45*0.2</f>
        <v>19</v>
      </c>
      <c r="X45" s="45" t="n">
        <v>46</v>
      </c>
      <c r="Y45" s="46" t="n">
        <f aca="false">(X45/X$15)*50+50</f>
        <v>96</v>
      </c>
      <c r="Z45" s="46" t="n">
        <f aca="false">Y45*0.5</f>
        <v>48</v>
      </c>
      <c r="AA45" s="47" t="n">
        <f aca="false">SUM(Z45,W45,O45)</f>
        <v>90.25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10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10</v>
      </c>
      <c r="N46" s="46" t="n">
        <f aca="false">(M46/M$15)*50+50</f>
        <v>75</v>
      </c>
      <c r="O46" s="46" t="n">
        <f aca="false">N46*0.3</f>
        <v>22.5</v>
      </c>
      <c r="P46" s="45" t="n">
        <v>85</v>
      </c>
      <c r="Q46" s="45"/>
      <c r="R46" s="45"/>
      <c r="S46" s="45"/>
      <c r="T46" s="45"/>
      <c r="U46" s="46" t="n">
        <f aca="false">SUMIF(P46:T46,"&lt;&gt;",P46:T46)</f>
        <v>85</v>
      </c>
      <c r="V46" s="46" t="n">
        <f aca="false">(U46/U$15)*50+50</f>
        <v>78.3333333333333</v>
      </c>
      <c r="W46" s="46" t="n">
        <f aca="false">V46*0.2</f>
        <v>15.6666666666667</v>
      </c>
      <c r="X46" s="45" t="n">
        <v>43</v>
      </c>
      <c r="Y46" s="46" t="n">
        <f aca="false">(X46/X$15)*50+50</f>
        <v>93</v>
      </c>
      <c r="Z46" s="46" t="n">
        <f aca="false">Y46*0.5</f>
        <v>46.5</v>
      </c>
      <c r="AA46" s="47" t="n">
        <f aca="false">SUM(Z46,W46,O46)</f>
        <v>84.6666666666667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 t="n">
        <v>0</v>
      </c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/>
      <c r="Y47" s="46" t="n">
        <f aca="false">(X47/X$15)*50+50</f>
        <v>50</v>
      </c>
      <c r="Z47" s="46" t="n">
        <f aca="false">Y47*0.5</f>
        <v>25</v>
      </c>
      <c r="AA47" s="47" t="n">
        <f aca="false">SUM(Z47,W47,O47)</f>
        <v>50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19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19</v>
      </c>
      <c r="N48" s="46" t="n">
        <f aca="false">(M48/M$15)*50+50</f>
        <v>97.5</v>
      </c>
      <c r="O48" s="46" t="n">
        <f aca="false">N48*0.3</f>
        <v>29.25</v>
      </c>
      <c r="P48" s="45" t="n">
        <v>85</v>
      </c>
      <c r="Q48" s="45" t="n">
        <v>50</v>
      </c>
      <c r="R48" s="45"/>
      <c r="S48" s="45"/>
      <c r="T48" s="45"/>
      <c r="U48" s="46" t="n">
        <f aca="false">SUMIF(P48:T48,"&lt;&gt;",P48:T48)</f>
        <v>135</v>
      </c>
      <c r="V48" s="46" t="n">
        <f aca="false">(U48/U$15)*50+50</f>
        <v>95</v>
      </c>
      <c r="W48" s="46" t="n">
        <f aca="false">V48*0.2</f>
        <v>19</v>
      </c>
      <c r="X48" s="45" t="n">
        <v>45</v>
      </c>
      <c r="Y48" s="46" t="n">
        <f aca="false">(X48/X$15)*50+50</f>
        <v>95</v>
      </c>
      <c r="Z48" s="46" t="n">
        <f aca="false">Y48*0.5</f>
        <v>47.5</v>
      </c>
      <c r="AA48" s="47" t="n">
        <f aca="false">SUM(Z48,W48,O48)</f>
        <v>95.75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12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12</v>
      </c>
      <c r="N49" s="46" t="n">
        <f aca="false">(M49/M$15)*50+50</f>
        <v>80</v>
      </c>
      <c r="O49" s="48" t="n">
        <f aca="false">N49*0.3</f>
        <v>24</v>
      </c>
      <c r="P49" s="45" t="n">
        <v>85</v>
      </c>
      <c r="Q49" s="45" t="n">
        <v>50</v>
      </c>
      <c r="R49" s="45"/>
      <c r="S49" s="45"/>
      <c r="T49" s="45"/>
      <c r="U49" s="46" t="n">
        <f aca="false">SUMIF(P49:T49,"&lt;&gt;",P49:T49)</f>
        <v>135</v>
      </c>
      <c r="V49" s="46" t="n">
        <f aca="false">(U49/U$15)*50+50</f>
        <v>95</v>
      </c>
      <c r="W49" s="46" t="n">
        <f aca="false">V49*0.2</f>
        <v>19</v>
      </c>
      <c r="X49" s="45" t="n">
        <v>45</v>
      </c>
      <c r="Y49" s="46" t="n">
        <f aca="false">(X49/X$15)*50+50</f>
        <v>95</v>
      </c>
      <c r="Z49" s="46" t="n">
        <f aca="false">Y49*0.5</f>
        <v>47.5</v>
      </c>
      <c r="AA49" s="47" t="n">
        <f aca="false">SUM(Z49,W49,O49)</f>
        <v>90.5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9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9</v>
      </c>
      <c r="N50" s="46" t="n">
        <f aca="false">(M50/M$15)*50+50</f>
        <v>72.5</v>
      </c>
      <c r="O50" s="48" t="n">
        <f aca="false">N50*0.3</f>
        <v>21.75</v>
      </c>
      <c r="P50" s="45" t="n">
        <v>85</v>
      </c>
      <c r="Q50" s="45" t="n">
        <v>50</v>
      </c>
      <c r="R50" s="45"/>
      <c r="S50" s="45"/>
      <c r="T50" s="45"/>
      <c r="U50" s="46" t="n">
        <f aca="false">SUMIF(P50:T50,"&lt;&gt;",P50:T50)</f>
        <v>135</v>
      </c>
      <c r="V50" s="46" t="n">
        <f aca="false">(U50/U$15)*50+50</f>
        <v>95</v>
      </c>
      <c r="W50" s="46" t="n">
        <f aca="false">V50*0.2</f>
        <v>19</v>
      </c>
      <c r="X50" s="45" t="n">
        <v>37</v>
      </c>
      <c r="Y50" s="46" t="n">
        <f aca="false">(X50/X$15)*50+50</f>
        <v>87</v>
      </c>
      <c r="Z50" s="46" t="n">
        <f aca="false">Y50*0.5</f>
        <v>43.5</v>
      </c>
      <c r="AA50" s="47" t="n">
        <f aca="false">SUM(Z50,W50,O50)</f>
        <v>84.25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17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17</v>
      </c>
      <c r="N51" s="46" t="n">
        <f aca="false">(M51/M$15)*50+50</f>
        <v>92.5</v>
      </c>
      <c r="O51" s="48" t="n">
        <f aca="false">N51*0.3</f>
        <v>27.75</v>
      </c>
      <c r="P51" s="45" t="n">
        <v>85</v>
      </c>
      <c r="Q51" s="45"/>
      <c r="R51" s="45"/>
      <c r="S51" s="45"/>
      <c r="T51" s="45"/>
      <c r="U51" s="46" t="n">
        <f aca="false">SUMIF(P51:T51,"&lt;&gt;",P51:T51)</f>
        <v>85</v>
      </c>
      <c r="V51" s="46" t="n">
        <f aca="false">(U51/U$15)*50+50</f>
        <v>78.3333333333333</v>
      </c>
      <c r="W51" s="46" t="n">
        <f aca="false">V51*0.2</f>
        <v>15.6666666666667</v>
      </c>
      <c r="X51" s="45" t="n">
        <v>41</v>
      </c>
      <c r="Y51" s="46" t="n">
        <f aca="false">(X51/X$15)*50+50</f>
        <v>91</v>
      </c>
      <c r="Z51" s="46" t="n">
        <f aca="false">Y51*0.5</f>
        <v>45.5</v>
      </c>
      <c r="AA51" s="47" t="n">
        <f aca="false">SUM(Z51,W51,O51)</f>
        <v>88.9166666666667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0</v>
      </c>
      <c r="N52" s="46" t="n">
        <f aca="false">(M52/M$15)*50+50</f>
        <v>50</v>
      </c>
      <c r="O52" s="48" t="n">
        <f aca="false">N52*0.3</f>
        <v>15</v>
      </c>
      <c r="P52" s="45" t="n">
        <v>85</v>
      </c>
      <c r="Q52" s="45"/>
      <c r="R52" s="45"/>
      <c r="S52" s="45"/>
      <c r="T52" s="45"/>
      <c r="U52" s="46" t="n">
        <f aca="false">SUMIF(P52:T52,"&lt;&gt;",P52:T52)</f>
        <v>85</v>
      </c>
      <c r="V52" s="46" t="n">
        <f aca="false">(U52/U$15)*50+50</f>
        <v>78.3333333333333</v>
      </c>
      <c r="W52" s="46" t="n">
        <f aca="false">V52*0.2</f>
        <v>15.6666666666667</v>
      </c>
      <c r="X52" s="45" t="n">
        <v>44</v>
      </c>
      <c r="Y52" s="46" t="n">
        <f aca="false">(X52/X$15)*50+50</f>
        <v>94</v>
      </c>
      <c r="Z52" s="46" t="n">
        <f aca="false">Y52*0.5</f>
        <v>47</v>
      </c>
      <c r="AA52" s="47" t="n">
        <f aca="false">SUM(Z52,W52,O52)</f>
        <v>77.6666666666667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0</v>
      </c>
      <c r="N53" s="46" t="n">
        <f aca="false">(M53/M$15)*50+50</f>
        <v>50</v>
      </c>
      <c r="O53" s="48" t="n">
        <f aca="false">N53*0.3</f>
        <v>15</v>
      </c>
      <c r="P53" s="45" t="n">
        <v>85</v>
      </c>
      <c r="Q53" s="45"/>
      <c r="R53" s="45"/>
      <c r="S53" s="45"/>
      <c r="T53" s="45"/>
      <c r="U53" s="46" t="n">
        <f aca="false">SUMIF(P53:T53,"&lt;&gt;",P53:T53)</f>
        <v>85</v>
      </c>
      <c r="V53" s="46" t="n">
        <f aca="false">(U53/U$15)*50+50</f>
        <v>78.3333333333333</v>
      </c>
      <c r="W53" s="46" t="n">
        <f aca="false">V53*0.2</f>
        <v>15.6666666666667</v>
      </c>
      <c r="X53" s="45" t="n">
        <v>44</v>
      </c>
      <c r="Y53" s="46" t="n">
        <f aca="false">(X53/X$15)*50+50</f>
        <v>94</v>
      </c>
      <c r="Z53" s="46" t="n">
        <f aca="false">Y53*0.5</f>
        <v>47</v>
      </c>
      <c r="AA53" s="47" t="n">
        <f aca="false">SUM(Z53,W53,O53)</f>
        <v>77.6666666666667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19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19</v>
      </c>
      <c r="N54" s="46" t="n">
        <f aca="false">(M54/M$15)*50+50</f>
        <v>97.5</v>
      </c>
      <c r="O54" s="48" t="n">
        <f aca="false">N54*0.3</f>
        <v>29.25</v>
      </c>
      <c r="P54" s="45" t="n">
        <v>85</v>
      </c>
      <c r="Q54" s="45"/>
      <c r="R54" s="45"/>
      <c r="S54" s="45"/>
      <c r="T54" s="45"/>
      <c r="U54" s="46" t="n">
        <f aca="false">SUMIF(P54:T54,"&lt;&gt;",P54:T54)</f>
        <v>85</v>
      </c>
      <c r="V54" s="46" t="n">
        <f aca="false">(U54/U$15)*50+50</f>
        <v>78.3333333333333</v>
      </c>
      <c r="W54" s="46" t="n">
        <f aca="false">V54*0.2</f>
        <v>15.6666666666667</v>
      </c>
      <c r="X54" s="45" t="n">
        <v>45</v>
      </c>
      <c r="Y54" s="46" t="n">
        <f aca="false">(X54/X$15)*50+50</f>
        <v>95</v>
      </c>
      <c r="Z54" s="46" t="n">
        <f aca="false">Y54*0.5</f>
        <v>47.5</v>
      </c>
      <c r="AA54" s="47" t="n">
        <f aca="false">SUM(Z54,W54,O54)</f>
        <v>92.4166666666667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17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17</v>
      </c>
      <c r="N55" s="46" t="n">
        <f aca="false">(M55/M$15)*50+50</f>
        <v>92.5</v>
      </c>
      <c r="O55" s="48" t="n">
        <f aca="false">N55*0.3</f>
        <v>27.75</v>
      </c>
      <c r="P55" s="45" t="n">
        <v>85</v>
      </c>
      <c r="Q55" s="45" t="n">
        <v>50</v>
      </c>
      <c r="R55" s="45"/>
      <c r="S55" s="45"/>
      <c r="T55" s="45"/>
      <c r="U55" s="46" t="n">
        <f aca="false">SUMIF(P55:T55,"&lt;&gt;",P55:T55)</f>
        <v>135</v>
      </c>
      <c r="V55" s="46" t="n">
        <f aca="false">(U55/U$15)*50+50</f>
        <v>95</v>
      </c>
      <c r="W55" s="46" t="n">
        <f aca="false">V55*0.2</f>
        <v>19</v>
      </c>
      <c r="X55" s="45" t="n">
        <v>47</v>
      </c>
      <c r="Y55" s="46" t="n">
        <f aca="false">(X55/X$15)*50+50</f>
        <v>97</v>
      </c>
      <c r="Z55" s="46" t="n">
        <f aca="false">Y55*0.5</f>
        <v>48.5</v>
      </c>
      <c r="AA55" s="47" t="n">
        <f aca="false">SUM(Z55,W55,O55)</f>
        <v>95.25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17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17</v>
      </c>
      <c r="N56" s="46" t="n">
        <f aca="false">(M56/M$15)*50+50</f>
        <v>92.5</v>
      </c>
      <c r="O56" s="48" t="n">
        <f aca="false">N56*0.3</f>
        <v>27.75</v>
      </c>
      <c r="P56" s="45" t="n">
        <v>85</v>
      </c>
      <c r="Q56" s="45"/>
      <c r="R56" s="45"/>
      <c r="S56" s="45"/>
      <c r="T56" s="45"/>
      <c r="U56" s="46" t="n">
        <f aca="false">SUMIF(P56:T56,"&lt;&gt;",P56:T56)</f>
        <v>85</v>
      </c>
      <c r="V56" s="46" t="n">
        <f aca="false">(U56/U$15)*50+50</f>
        <v>78.3333333333333</v>
      </c>
      <c r="W56" s="46" t="n">
        <f aca="false">V56*0.2</f>
        <v>15.6666666666667</v>
      </c>
      <c r="X56" s="45" t="n">
        <v>22</v>
      </c>
      <c r="Y56" s="46" t="n">
        <f aca="false">(X56/X$15)*50+50</f>
        <v>72</v>
      </c>
      <c r="Z56" s="46" t="n">
        <f aca="false">Y56*0.5</f>
        <v>36</v>
      </c>
      <c r="AA56" s="47" t="n">
        <f aca="false">SUM(Z56,W56,O56)</f>
        <v>79.4166666666667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 t="n">
        <v>85</v>
      </c>
      <c r="Q57" s="45"/>
      <c r="R57" s="45"/>
      <c r="S57" s="45"/>
      <c r="T57" s="45"/>
      <c r="U57" s="46" t="n">
        <f aca="false">SUMIF(P57:T57,"&lt;&gt;",P57:T57)</f>
        <v>85</v>
      </c>
      <c r="V57" s="46" t="n">
        <f aca="false">(U57/U$15)*50+50</f>
        <v>78.3333333333333</v>
      </c>
      <c r="W57" s="46" t="n">
        <f aca="false">V57*0.2</f>
        <v>15.6666666666667</v>
      </c>
      <c r="X57" s="45" t="n">
        <v>37</v>
      </c>
      <c r="Y57" s="46" t="n">
        <f aca="false">(X57/X$15)*50+50</f>
        <v>87</v>
      </c>
      <c r="Z57" s="46" t="n">
        <f aca="false">Y57*0.5</f>
        <v>43.5</v>
      </c>
      <c r="AA57" s="47" t="n">
        <f aca="false">SUM(Z57,W57,O57)</f>
        <v>74.1666666666667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0</v>
      </c>
      <c r="N58" s="46" t="n">
        <f aca="false">(M58/M$15)*50+50</f>
        <v>50</v>
      </c>
      <c r="O58" s="48" t="n">
        <f aca="false">N58*0.3</f>
        <v>15</v>
      </c>
      <c r="P58" s="45" t="n">
        <v>85</v>
      </c>
      <c r="Q58" s="45"/>
      <c r="R58" s="45"/>
      <c r="S58" s="45"/>
      <c r="T58" s="45"/>
      <c r="U58" s="46" t="n">
        <f aca="false">SUMIF(P58:T58,"&lt;&gt;",P58:T58)</f>
        <v>85</v>
      </c>
      <c r="V58" s="46" t="n">
        <f aca="false">(U58/U$15)*50+50</f>
        <v>78.3333333333333</v>
      </c>
      <c r="W58" s="46" t="n">
        <f aca="false">V58*0.2</f>
        <v>15.6666666666667</v>
      </c>
      <c r="X58" s="45" t="n">
        <v>45</v>
      </c>
      <c r="Y58" s="46" t="n">
        <f aca="false">(X58/X$15)*50+50</f>
        <v>95</v>
      </c>
      <c r="Z58" s="46" t="n">
        <f aca="false">Y58*0.5</f>
        <v>47.5</v>
      </c>
      <c r="AA58" s="47" t="n">
        <f aca="false">SUM(Z58,W58,O58)</f>
        <v>78.1666666666667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12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12</v>
      </c>
      <c r="N59" s="46" t="n">
        <f aca="false">(M59/M$15)*50+50</f>
        <v>80</v>
      </c>
      <c r="O59" s="48" t="n">
        <f aca="false">N59*0.3</f>
        <v>24</v>
      </c>
      <c r="P59" s="45" t="n">
        <v>85</v>
      </c>
      <c r="Q59" s="45" t="n">
        <v>50</v>
      </c>
      <c r="R59" s="45"/>
      <c r="S59" s="45"/>
      <c r="T59" s="45"/>
      <c r="U59" s="46" t="n">
        <f aca="false">SUMIF(P59:T59,"&lt;&gt;",P59:T59)</f>
        <v>135</v>
      </c>
      <c r="V59" s="46" t="n">
        <f aca="false">(U59/U$15)*50+50</f>
        <v>95</v>
      </c>
      <c r="W59" s="46" t="n">
        <f aca="false">V59*0.2</f>
        <v>19</v>
      </c>
      <c r="X59" s="45" t="n">
        <v>46</v>
      </c>
      <c r="Y59" s="46" t="n">
        <f aca="false">(X59/X$15)*50+50</f>
        <v>96</v>
      </c>
      <c r="Z59" s="46" t="n">
        <f aca="false">Y59*0.5</f>
        <v>48</v>
      </c>
      <c r="AA59" s="47" t="n">
        <f aca="false">SUM(Z59,W59,O59)</f>
        <v>91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7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7</v>
      </c>
      <c r="N60" s="46" t="n">
        <f aca="false">(M60/M$15)*50+50</f>
        <v>67.5</v>
      </c>
      <c r="O60" s="48" t="n">
        <f aca="false">N60*0.3</f>
        <v>20.25</v>
      </c>
      <c r="P60" s="45" t="n">
        <v>85</v>
      </c>
      <c r="Q60" s="45" t="n">
        <v>50</v>
      </c>
      <c r="R60" s="45"/>
      <c r="S60" s="45"/>
      <c r="T60" s="45"/>
      <c r="U60" s="46" t="n">
        <f aca="false">SUMIF(P60:T60,"&lt;&gt;",P60:T60)</f>
        <v>135</v>
      </c>
      <c r="V60" s="46" t="n">
        <f aca="false">(U60/U$15)*50+50</f>
        <v>95</v>
      </c>
      <c r="W60" s="46" t="n">
        <f aca="false">V60*0.2</f>
        <v>19</v>
      </c>
      <c r="X60" s="45" t="n">
        <v>43</v>
      </c>
      <c r="Y60" s="46" t="n">
        <f aca="false">(X60/X$15)*50+50</f>
        <v>93</v>
      </c>
      <c r="Z60" s="46" t="n">
        <f aca="false">Y60*0.5</f>
        <v>46.5</v>
      </c>
      <c r="AA60" s="47" t="n">
        <f aca="false">SUM(Z60,W60,O60)</f>
        <v>85.75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16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16</v>
      </c>
      <c r="N61" s="46" t="n">
        <f aca="false">(M61/M$15)*50+50</f>
        <v>90</v>
      </c>
      <c r="O61" s="48" t="n">
        <f aca="false">N61*0.3</f>
        <v>27</v>
      </c>
      <c r="P61" s="45" t="n">
        <v>85</v>
      </c>
      <c r="Q61" s="45" t="n">
        <v>50</v>
      </c>
      <c r="R61" s="45"/>
      <c r="S61" s="45"/>
      <c r="T61" s="45"/>
      <c r="U61" s="46" t="n">
        <f aca="false">SUMIF(P61:T61,"&lt;&gt;",P61:T61)</f>
        <v>135</v>
      </c>
      <c r="V61" s="46" t="n">
        <f aca="false">(U61/U$15)*50+50</f>
        <v>95</v>
      </c>
      <c r="W61" s="46" t="n">
        <f aca="false">V61*0.2</f>
        <v>19</v>
      </c>
      <c r="X61" s="45" t="n">
        <v>42</v>
      </c>
      <c r="Y61" s="46" t="n">
        <f aca="false">(X61/X$15)*50+50</f>
        <v>92</v>
      </c>
      <c r="Z61" s="46" t="n">
        <f aca="false">Y61*0.5</f>
        <v>46</v>
      </c>
      <c r="AA61" s="47" t="n">
        <f aca="false">SUM(Z61,W61,O61)</f>
        <v>92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0</v>
      </c>
      <c r="N62" s="46" t="n">
        <f aca="false">(M62/M$15)*50+50</f>
        <v>50</v>
      </c>
      <c r="O62" s="48" t="n">
        <f aca="false">N62*0.3</f>
        <v>15</v>
      </c>
      <c r="P62" s="45" t="n">
        <v>85</v>
      </c>
      <c r="Q62" s="45"/>
      <c r="R62" s="45"/>
      <c r="S62" s="45"/>
      <c r="T62" s="45"/>
      <c r="U62" s="46" t="n">
        <f aca="false">SUMIF(P62:T62,"&lt;&gt;",P62:T62)</f>
        <v>85</v>
      </c>
      <c r="V62" s="46" t="n">
        <f aca="false">(U62/U$15)*50+50</f>
        <v>78.3333333333333</v>
      </c>
      <c r="W62" s="46" t="n">
        <f aca="false">V62*0.2</f>
        <v>15.6666666666667</v>
      </c>
      <c r="X62" s="45" t="n">
        <v>46</v>
      </c>
      <c r="Y62" s="46" t="n">
        <f aca="false">(X62/X$15)*50+50</f>
        <v>96</v>
      </c>
      <c r="Z62" s="46" t="n">
        <f aca="false">Y62*0.5</f>
        <v>48</v>
      </c>
      <c r="AA62" s="47" t="n">
        <f aca="false">SUM(Z62,W62,O62)</f>
        <v>78.6666666666667</v>
      </c>
      <c r="AB62" s="49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12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12</v>
      </c>
      <c r="N63" s="46" t="n">
        <f aca="false">(M63/M$15)*50+50</f>
        <v>80</v>
      </c>
      <c r="O63" s="48" t="n">
        <f aca="false">N63*0.3</f>
        <v>24</v>
      </c>
      <c r="P63" s="45" t="n">
        <v>85</v>
      </c>
      <c r="Q63" s="45" t="n">
        <v>50</v>
      </c>
      <c r="R63" s="45"/>
      <c r="S63" s="45"/>
      <c r="T63" s="45"/>
      <c r="U63" s="46" t="n">
        <f aca="false">SUMIF(P63:T63,"&lt;&gt;",P63:T63)</f>
        <v>135</v>
      </c>
      <c r="V63" s="46" t="n">
        <f aca="false">(U63/U$15)*50+50</f>
        <v>95</v>
      </c>
      <c r="W63" s="46" t="n">
        <f aca="false">V63*0.2</f>
        <v>19</v>
      </c>
      <c r="X63" s="45" t="n">
        <v>47</v>
      </c>
      <c r="Y63" s="46" t="n">
        <f aca="false">(X63/X$15)*50+50</f>
        <v>97</v>
      </c>
      <c r="Z63" s="46" t="n">
        <f aca="false">Y63*0.5</f>
        <v>48.5</v>
      </c>
      <c r="AA63" s="47" t="n">
        <f aca="false">SUM(Z63,W63,O63)</f>
        <v>91.5</v>
      </c>
      <c r="AB63" s="49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ZUILO, DANIEL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 t="n">
        <v>85</v>
      </c>
      <c r="Q64" s="45"/>
      <c r="R64" s="45"/>
      <c r="S64" s="45"/>
      <c r="T64" s="45"/>
      <c r="U64" s="46" t="n">
        <f aca="false">SUMIF(P64:T64,"&lt;&gt;",P64:T64)</f>
        <v>85</v>
      </c>
      <c r="V64" s="46" t="n">
        <f aca="false">(U64/U$15)*50+50</f>
        <v>78.3333333333333</v>
      </c>
      <c r="W64" s="46" t="n">
        <f aca="false">V64*0.2</f>
        <v>15.6666666666667</v>
      </c>
      <c r="X64" s="45" t="n">
        <v>49</v>
      </c>
      <c r="Y64" s="46" t="n">
        <f aca="false">(X64/X$15)*50+50</f>
        <v>99</v>
      </c>
      <c r="Z64" s="46" t="n">
        <f aca="false">Y64*0.5</f>
        <v>49.5</v>
      </c>
      <c r="AA64" s="47" t="n">
        <f aca="false">SUM(Z64,W64,O64)</f>
        <v>80.1666666666667</v>
      </c>
      <c r="AB64" s="49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BASOY, TRIXIE LAURENCE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 t="n">
        <v>85</v>
      </c>
      <c r="Q65" s="45"/>
      <c r="R65" s="45"/>
      <c r="S65" s="45"/>
      <c r="T65" s="45"/>
      <c r="U65" s="46" t="n">
        <f aca="false">SUMIF(P65:T65,"&lt;&gt;",P65:T65)</f>
        <v>85</v>
      </c>
      <c r="V65" s="46" t="n">
        <f aca="false">(U65/U$15)*50+50</f>
        <v>78.3333333333333</v>
      </c>
      <c r="W65" s="46" t="n">
        <f aca="false">V65*0.2</f>
        <v>15.6666666666667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55.6666666666667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B11" colorId="64" zoomScale="60" zoomScaleNormal="60" zoomScalePageLayoutView="100" workbookViewId="0">
      <selection pane="topLeft" activeCell="B57" activeCellId="0" sqref="B57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95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10</v>
      </c>
      <c r="D15" s="40" t="n">
        <v>5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15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 t="n">
        <v>10</v>
      </c>
      <c r="D16" s="45" t="n">
        <v>3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13</v>
      </c>
      <c r="N16" s="46" t="n">
        <f aca="false">(M16/M$15)*50+50</f>
        <v>93.3333333333333</v>
      </c>
      <c r="O16" s="46" t="n">
        <f aca="false">N16*0.3</f>
        <v>28</v>
      </c>
      <c r="P16" s="45"/>
      <c r="Q16" s="45"/>
      <c r="R16" s="45"/>
      <c r="S16" s="45"/>
      <c r="T16" s="45"/>
      <c r="U16" s="46" t="n">
        <f aca="false">SUMIF(P16:T16,"&lt;&gt;",P16:T16)</f>
        <v>0</v>
      </c>
      <c r="V16" s="46" t="n">
        <f aca="false">(U16/U$15)*50+50</f>
        <v>50</v>
      </c>
      <c r="W16" s="46" t="n">
        <f aca="false">V16*0.2</f>
        <v>10</v>
      </c>
      <c r="X16" s="45" t="n">
        <v>80</v>
      </c>
      <c r="Y16" s="46" t="n">
        <f aca="false">(X16/X$15)*50+50</f>
        <v>90</v>
      </c>
      <c r="Z16" s="46" t="n">
        <f aca="false">Y16*0.5</f>
        <v>45</v>
      </c>
      <c r="AA16" s="47" t="n">
        <f aca="false">SUM(Z16,W16,O16)</f>
        <v>83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0</v>
      </c>
      <c r="N17" s="46" t="n">
        <f aca="false">(M17/M$15)*50+50</f>
        <v>50</v>
      </c>
      <c r="O17" s="46" t="n">
        <f aca="false">N17*0.3</f>
        <v>15</v>
      </c>
      <c r="P17" s="45" t="n">
        <v>100</v>
      </c>
      <c r="Q17" s="45"/>
      <c r="R17" s="45"/>
      <c r="S17" s="45"/>
      <c r="T17" s="45"/>
      <c r="U17" s="46" t="n">
        <f aca="false">SUMIF(P17:T17,"&lt;&gt;",P17:T17)</f>
        <v>100</v>
      </c>
      <c r="V17" s="46" t="n">
        <f aca="false">(U17/U$15)*50+50</f>
        <v>100</v>
      </c>
      <c r="W17" s="46" t="n">
        <f aca="false">V17*0.2</f>
        <v>20</v>
      </c>
      <c r="X17" s="45" t="n">
        <v>80</v>
      </c>
      <c r="Y17" s="46" t="n">
        <f aca="false">(X17/X$15)*50+50</f>
        <v>90</v>
      </c>
      <c r="Z17" s="46" t="n">
        <f aca="false">Y17*0.5</f>
        <v>45</v>
      </c>
      <c r="AA17" s="47" t="n">
        <f aca="false">SUM(Z17,W17,O17)</f>
        <v>80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10</v>
      </c>
      <c r="D18" s="45" t="n">
        <v>4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14</v>
      </c>
      <c r="N18" s="46" t="n">
        <f aca="false">(M18/M$15)*50+50</f>
        <v>96.6666666666667</v>
      </c>
      <c r="O18" s="46" t="n">
        <f aca="false">N18*0.3</f>
        <v>29</v>
      </c>
      <c r="P18" s="45" t="n">
        <v>100</v>
      </c>
      <c r="Q18" s="45"/>
      <c r="R18" s="45"/>
      <c r="S18" s="45"/>
      <c r="T18" s="45"/>
      <c r="U18" s="46" t="n">
        <f aca="false">SUMIF(P18:T18,"&lt;&gt;",P18:T18)</f>
        <v>100</v>
      </c>
      <c r="V18" s="46" t="n">
        <f aca="false">(U18/U$15)*50+50</f>
        <v>100</v>
      </c>
      <c r="W18" s="46" t="n">
        <f aca="false">V18*0.2</f>
        <v>20</v>
      </c>
      <c r="X18" s="45" t="n">
        <v>80</v>
      </c>
      <c r="Y18" s="46" t="n">
        <f aca="false">(X18/X$15)*50+50</f>
        <v>90</v>
      </c>
      <c r="Z18" s="46" t="n">
        <f aca="false">Y18*0.5</f>
        <v>45</v>
      </c>
      <c r="AA18" s="47" t="n">
        <f aca="false">SUM(Z18,W18,O18)</f>
        <v>94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10</v>
      </c>
      <c r="D19" s="45" t="n">
        <v>4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14</v>
      </c>
      <c r="N19" s="46" t="n">
        <f aca="false">(M19/M$15)*50+50</f>
        <v>96.6666666666667</v>
      </c>
      <c r="O19" s="46" t="n">
        <f aca="false">N19*0.3</f>
        <v>29</v>
      </c>
      <c r="P19" s="45" t="n">
        <v>100</v>
      </c>
      <c r="Q19" s="45"/>
      <c r="R19" s="45"/>
      <c r="S19" s="45"/>
      <c r="T19" s="45"/>
      <c r="U19" s="46" t="n">
        <f aca="false">SUMIF(P19:T19,"&lt;&gt;",P19:T19)</f>
        <v>100</v>
      </c>
      <c r="V19" s="46" t="n">
        <f aca="false">(U19/U$15)*50+50</f>
        <v>100</v>
      </c>
      <c r="W19" s="46" t="n">
        <f aca="false">V19*0.2</f>
        <v>20</v>
      </c>
      <c r="X19" s="45" t="n">
        <v>80</v>
      </c>
      <c r="Y19" s="46" t="n">
        <f aca="false">(X19/X$15)*50+50</f>
        <v>90</v>
      </c>
      <c r="Z19" s="46" t="n">
        <f aca="false">Y19*0.5</f>
        <v>45</v>
      </c>
      <c r="AA19" s="47" t="n">
        <f aca="false">SUM(Z19,W19,O19)</f>
        <v>94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10</v>
      </c>
      <c r="D20" s="45" t="n">
        <v>5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15</v>
      </c>
      <c r="N20" s="46" t="n">
        <f aca="false">(M20/M$15)*50+50</f>
        <v>100</v>
      </c>
      <c r="O20" s="46" t="n">
        <f aca="false">N20*0.3</f>
        <v>30</v>
      </c>
      <c r="P20" s="45"/>
      <c r="Q20" s="45"/>
      <c r="R20" s="45"/>
      <c r="S20" s="45"/>
      <c r="T20" s="45"/>
      <c r="U20" s="46" t="n">
        <f aca="false">SUMIF(P20:T20,"&lt;&gt;",P20:T20)</f>
        <v>0</v>
      </c>
      <c r="V20" s="46" t="n">
        <f aca="false">(U20/U$15)*50+50</f>
        <v>50</v>
      </c>
      <c r="W20" s="46" t="n">
        <f aca="false">V20*0.2</f>
        <v>10</v>
      </c>
      <c r="X20" s="45" t="n">
        <v>85</v>
      </c>
      <c r="Y20" s="46" t="n">
        <f aca="false">(X20/X$15)*50+50</f>
        <v>92.5</v>
      </c>
      <c r="Z20" s="46" t="n">
        <f aca="false">Y20*0.5</f>
        <v>46.25</v>
      </c>
      <c r="AA20" s="47" t="n">
        <f aca="false">SUM(Z20,W20,O20)</f>
        <v>86.25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/>
      <c r="D21" s="45" t="n">
        <v>5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5</v>
      </c>
      <c r="N21" s="46" t="n">
        <f aca="false">(M21/M$15)*50+50</f>
        <v>66.6666666666667</v>
      </c>
      <c r="O21" s="46" t="n">
        <f aca="false">N21*0.3</f>
        <v>20</v>
      </c>
      <c r="P21" s="45" t="n">
        <v>100</v>
      </c>
      <c r="Q21" s="45"/>
      <c r="R21" s="45"/>
      <c r="S21" s="45"/>
      <c r="T21" s="45"/>
      <c r="U21" s="46" t="n">
        <f aca="false">SUMIF(P21:T21,"&lt;&gt;",P21:T21)</f>
        <v>100</v>
      </c>
      <c r="V21" s="46" t="n">
        <f aca="false">(U21/U$15)*50+50</f>
        <v>100</v>
      </c>
      <c r="W21" s="46" t="n">
        <f aca="false">V21*0.2</f>
        <v>20</v>
      </c>
      <c r="X21" s="45" t="n">
        <v>80</v>
      </c>
      <c r="Y21" s="46" t="n">
        <f aca="false">(X21/X$15)*50+50</f>
        <v>90</v>
      </c>
      <c r="Z21" s="46" t="n">
        <f aca="false">Y21*0.5</f>
        <v>45</v>
      </c>
      <c r="AA21" s="47" t="n">
        <f aca="false">SUM(Z21,W21,O21)</f>
        <v>85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10</v>
      </c>
      <c r="D22" s="45" t="n">
        <v>5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15</v>
      </c>
      <c r="N22" s="46" t="n">
        <f aca="false">(M22/M$15)*50+50</f>
        <v>100</v>
      </c>
      <c r="O22" s="46" t="n">
        <f aca="false">N22*0.3</f>
        <v>30</v>
      </c>
      <c r="P22" s="45" t="n">
        <v>100</v>
      </c>
      <c r="Q22" s="45"/>
      <c r="R22" s="45"/>
      <c r="S22" s="45"/>
      <c r="T22" s="45"/>
      <c r="U22" s="46" t="n">
        <f aca="false">SUMIF(P22:T22,"&lt;&gt;",P22:T22)</f>
        <v>100</v>
      </c>
      <c r="V22" s="46" t="n">
        <f aca="false">(U22/U$15)*50+50</f>
        <v>100</v>
      </c>
      <c r="W22" s="46" t="n">
        <f aca="false">V22*0.2</f>
        <v>20</v>
      </c>
      <c r="X22" s="45" t="n">
        <v>80</v>
      </c>
      <c r="Y22" s="46" t="n">
        <f aca="false">(X22/X$15)*50+50</f>
        <v>90</v>
      </c>
      <c r="Z22" s="46" t="n">
        <f aca="false">Y22*0.5</f>
        <v>45</v>
      </c>
      <c r="AA22" s="47" t="n">
        <f aca="false">SUM(Z22,W22,O22)</f>
        <v>95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 t="n">
        <v>10</v>
      </c>
      <c r="D23" s="45" t="n">
        <v>4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14</v>
      </c>
      <c r="N23" s="46" t="n">
        <f aca="false">(M23/M$15)*50+50</f>
        <v>96.6666666666667</v>
      </c>
      <c r="O23" s="46" t="n">
        <f aca="false">N23*0.3</f>
        <v>29</v>
      </c>
      <c r="P23" s="45" t="n">
        <v>100</v>
      </c>
      <c r="Q23" s="45"/>
      <c r="R23" s="45"/>
      <c r="S23" s="45"/>
      <c r="T23" s="45"/>
      <c r="U23" s="46" t="n">
        <f aca="false">SUMIF(P23:T23,"&lt;&gt;",P23:T23)</f>
        <v>100</v>
      </c>
      <c r="V23" s="46" t="n">
        <f aca="false">(U23/U$15)*50+50</f>
        <v>100</v>
      </c>
      <c r="W23" s="46" t="n">
        <f aca="false">V23*0.2</f>
        <v>20</v>
      </c>
      <c r="X23" s="45" t="n">
        <v>80</v>
      </c>
      <c r="Y23" s="46" t="n">
        <f aca="false">(X23/X$15)*50+50</f>
        <v>90</v>
      </c>
      <c r="Z23" s="46" t="n">
        <f aca="false">Y23*0.5</f>
        <v>45</v>
      </c>
      <c r="AA23" s="47" t="n">
        <f aca="false">SUM(Z23,W23,O23)</f>
        <v>94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10</v>
      </c>
      <c r="D24" s="45" t="n">
        <v>4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14</v>
      </c>
      <c r="N24" s="46" t="n">
        <f aca="false">(M24/M$15)*50+50</f>
        <v>96.6666666666667</v>
      </c>
      <c r="O24" s="46" t="n">
        <f aca="false">N24*0.3</f>
        <v>29</v>
      </c>
      <c r="P24" s="45" t="n">
        <v>100</v>
      </c>
      <c r="Q24" s="45"/>
      <c r="R24" s="45"/>
      <c r="S24" s="45"/>
      <c r="T24" s="45"/>
      <c r="U24" s="46" t="n">
        <f aca="false">SUMIF(P24:T24,"&lt;&gt;",P24:T24)</f>
        <v>100</v>
      </c>
      <c r="V24" s="46" t="n">
        <f aca="false">(U24/U$15)*50+50</f>
        <v>100</v>
      </c>
      <c r="W24" s="46" t="n">
        <f aca="false">V24*0.2</f>
        <v>20</v>
      </c>
      <c r="X24" s="45" t="n">
        <v>80</v>
      </c>
      <c r="Y24" s="46" t="n">
        <f aca="false">(X24/X$15)*50+50</f>
        <v>90</v>
      </c>
      <c r="Z24" s="46" t="n">
        <f aca="false">Y24*0.5</f>
        <v>45</v>
      </c>
      <c r="AA24" s="47" t="n">
        <f aca="false">SUM(Z24,W24,O24)</f>
        <v>94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 t="n">
        <v>10</v>
      </c>
      <c r="D25" s="45" t="n">
        <v>4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14</v>
      </c>
      <c r="N25" s="46" t="n">
        <f aca="false">(M25/M$15)*50+50</f>
        <v>96.6666666666667</v>
      </c>
      <c r="O25" s="46" t="n">
        <f aca="false">N25*0.3</f>
        <v>29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 t="n">
        <v>80</v>
      </c>
      <c r="Y25" s="46" t="n">
        <f aca="false">(X25/X$15)*50+50</f>
        <v>90</v>
      </c>
      <c r="Z25" s="46" t="n">
        <f aca="false">Y25*0.5</f>
        <v>45</v>
      </c>
      <c r="AA25" s="47" t="n">
        <f aca="false">SUM(Z25,W25,O25)</f>
        <v>84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10</v>
      </c>
      <c r="D26" s="45" t="n">
        <v>5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15</v>
      </c>
      <c r="N26" s="46" t="n">
        <f aca="false">(M26/M$15)*50+50</f>
        <v>100</v>
      </c>
      <c r="O26" s="46" t="n">
        <f aca="false">N26*0.3</f>
        <v>30</v>
      </c>
      <c r="P26" s="45" t="n">
        <v>100</v>
      </c>
      <c r="Q26" s="45"/>
      <c r="R26" s="45"/>
      <c r="S26" s="45"/>
      <c r="T26" s="45"/>
      <c r="U26" s="46" t="n">
        <f aca="false">SUMIF(P26:T26,"&lt;&gt;",P26:T26)</f>
        <v>100</v>
      </c>
      <c r="V26" s="46" t="n">
        <f aca="false">(U26/U$15)*50+50</f>
        <v>100</v>
      </c>
      <c r="W26" s="46" t="n">
        <f aca="false">V26*0.2</f>
        <v>20</v>
      </c>
      <c r="X26" s="45" t="n">
        <v>80</v>
      </c>
      <c r="Y26" s="46" t="n">
        <f aca="false">(X26/X$15)*50+50</f>
        <v>90</v>
      </c>
      <c r="Z26" s="46" t="n">
        <f aca="false">Y26*0.5</f>
        <v>45</v>
      </c>
      <c r="AA26" s="47" t="n">
        <f aca="false">SUM(Z26,W26,O26)</f>
        <v>95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10</v>
      </c>
      <c r="D27" s="45" t="n">
        <v>4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14</v>
      </c>
      <c r="N27" s="46" t="n">
        <f aca="false">(M27/M$15)*50+50</f>
        <v>96.6666666666667</v>
      </c>
      <c r="O27" s="46" t="n">
        <f aca="false">N27*0.3</f>
        <v>29</v>
      </c>
      <c r="P27" s="45" t="n">
        <v>100</v>
      </c>
      <c r="Q27" s="45"/>
      <c r="R27" s="45"/>
      <c r="S27" s="45"/>
      <c r="T27" s="45"/>
      <c r="U27" s="46" t="n">
        <f aca="false">SUMIF(P27:T27,"&lt;&gt;",P27:T27)</f>
        <v>100</v>
      </c>
      <c r="V27" s="46" t="n">
        <f aca="false">(U27/U$15)*50+50</f>
        <v>100</v>
      </c>
      <c r="W27" s="46" t="n">
        <f aca="false">V27*0.2</f>
        <v>20</v>
      </c>
      <c r="X27" s="45" t="n">
        <v>80</v>
      </c>
      <c r="Y27" s="46" t="n">
        <f aca="false">(X27/X$15)*50+50</f>
        <v>90</v>
      </c>
      <c r="Z27" s="46" t="n">
        <f aca="false">Y27*0.5</f>
        <v>45</v>
      </c>
      <c r="AA27" s="47" t="n">
        <f aca="false">SUM(Z27,W27,O27)</f>
        <v>94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 t="n">
        <v>6</v>
      </c>
      <c r="D28" s="45" t="n">
        <v>4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10</v>
      </c>
      <c r="N28" s="46" t="n">
        <f aca="false">(M28/M$15)*50+50</f>
        <v>83.3333333333333</v>
      </c>
      <c r="O28" s="46" t="n">
        <f aca="false">N28*0.3</f>
        <v>25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 t="n">
        <v>80</v>
      </c>
      <c r="Y28" s="46" t="n">
        <f aca="false">(X28/X$15)*50+50</f>
        <v>90</v>
      </c>
      <c r="Z28" s="46" t="n">
        <f aca="false">Y28*0.5</f>
        <v>45</v>
      </c>
      <c r="AA28" s="47" t="n">
        <f aca="false">SUM(Z28,W28,O28)</f>
        <v>80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0</v>
      </c>
      <c r="N29" s="46" t="n">
        <f aca="false">(M29/M$15)*50+50</f>
        <v>50</v>
      </c>
      <c r="O29" s="46" t="n">
        <f aca="false">N29*0.3</f>
        <v>15</v>
      </c>
      <c r="P29" s="45"/>
      <c r="Q29" s="45"/>
      <c r="R29" s="45"/>
      <c r="S29" s="45"/>
      <c r="T29" s="45"/>
      <c r="U29" s="46" t="n">
        <f aca="false">SUMIF(P29:T29,"&lt;&gt;",P29:T29)</f>
        <v>0</v>
      </c>
      <c r="V29" s="46" t="n">
        <f aca="false">(U29/U$15)*50+50</f>
        <v>50</v>
      </c>
      <c r="W29" s="46" t="n">
        <f aca="false">V29*0.2</f>
        <v>10</v>
      </c>
      <c r="X29" s="45" t="n">
        <v>80</v>
      </c>
      <c r="Y29" s="46" t="n">
        <f aca="false">(X29/X$15)*50+50</f>
        <v>90</v>
      </c>
      <c r="Z29" s="46" t="n">
        <f aca="false">Y29*0.5</f>
        <v>45</v>
      </c>
      <c r="AA29" s="47" t="n">
        <f aca="false">SUM(Z29,W29,O29)</f>
        <v>70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10</v>
      </c>
      <c r="D30" s="45" t="n">
        <v>4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14</v>
      </c>
      <c r="N30" s="46" t="n">
        <f aca="false">(M30/M$15)*50+50</f>
        <v>96.6666666666667</v>
      </c>
      <c r="O30" s="46" t="n">
        <f aca="false">N30*0.3</f>
        <v>29</v>
      </c>
      <c r="P30" s="45" t="n">
        <v>100</v>
      </c>
      <c r="Q30" s="45"/>
      <c r="R30" s="45"/>
      <c r="S30" s="45"/>
      <c r="T30" s="45"/>
      <c r="U30" s="46" t="n">
        <f aca="false">SUMIF(P30:T30,"&lt;&gt;",P30:T30)</f>
        <v>100</v>
      </c>
      <c r="V30" s="46" t="n">
        <f aca="false">(U30/U$15)*50+50</f>
        <v>100</v>
      </c>
      <c r="W30" s="46" t="n">
        <f aca="false">V30*0.2</f>
        <v>20</v>
      </c>
      <c r="X30" s="45" t="n">
        <v>80</v>
      </c>
      <c r="Y30" s="46" t="n">
        <f aca="false">(X30/X$15)*50+50</f>
        <v>90</v>
      </c>
      <c r="Z30" s="46" t="n">
        <f aca="false">Y30*0.5</f>
        <v>45</v>
      </c>
      <c r="AA30" s="47" t="n">
        <f aca="false">SUM(Z30,W30,O30)</f>
        <v>94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10</v>
      </c>
      <c r="D31" s="45" t="n">
        <v>4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14</v>
      </c>
      <c r="N31" s="46" t="n">
        <f aca="false">(M31/M$15)*50+50</f>
        <v>96.6666666666667</v>
      </c>
      <c r="O31" s="46" t="n">
        <f aca="false">N31*0.3</f>
        <v>29</v>
      </c>
      <c r="P31" s="45"/>
      <c r="Q31" s="45"/>
      <c r="R31" s="45"/>
      <c r="S31" s="45"/>
      <c r="T31" s="45"/>
      <c r="U31" s="46" t="n">
        <f aca="false">SUMIF(P31:T31,"&lt;&gt;",P31:T31)</f>
        <v>0</v>
      </c>
      <c r="V31" s="46" t="n">
        <f aca="false">(U31/U$15)*50+50</f>
        <v>50</v>
      </c>
      <c r="W31" s="46" t="n">
        <f aca="false">V31*0.2</f>
        <v>10</v>
      </c>
      <c r="X31" s="45" t="n">
        <v>80</v>
      </c>
      <c r="Y31" s="46" t="n">
        <f aca="false">(X31/X$15)*50+50</f>
        <v>90</v>
      </c>
      <c r="Z31" s="46" t="n">
        <f aca="false">Y31*0.5</f>
        <v>45</v>
      </c>
      <c r="AA31" s="47" t="n">
        <f aca="false">SUM(Z31,W31,O31)</f>
        <v>84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10</v>
      </c>
      <c r="D32" s="45" t="n">
        <v>5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15</v>
      </c>
      <c r="N32" s="46" t="n">
        <f aca="false">(M32/M$15)*50+50</f>
        <v>100</v>
      </c>
      <c r="O32" s="46" t="n">
        <f aca="false">N32*0.3</f>
        <v>30</v>
      </c>
      <c r="P32" s="45" t="n">
        <v>100</v>
      </c>
      <c r="Q32" s="45"/>
      <c r="R32" s="45"/>
      <c r="S32" s="45"/>
      <c r="T32" s="45"/>
      <c r="U32" s="46" t="n">
        <f aca="false">SUMIF(P32:T32,"&lt;&gt;",P32:T32)</f>
        <v>100</v>
      </c>
      <c r="V32" s="46" t="n">
        <f aca="false">(U32/U$15)*50+50</f>
        <v>100</v>
      </c>
      <c r="W32" s="46" t="n">
        <f aca="false">V32*0.2</f>
        <v>20</v>
      </c>
      <c r="X32" s="45" t="n">
        <v>80</v>
      </c>
      <c r="Y32" s="46" t="n">
        <f aca="false">(X32/X$15)*50+50</f>
        <v>90</v>
      </c>
      <c r="Z32" s="46" t="n">
        <f aca="false">Y32*0.5</f>
        <v>45</v>
      </c>
      <c r="AA32" s="47" t="n">
        <f aca="false">SUM(Z32,W32,O32)</f>
        <v>95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10</v>
      </c>
      <c r="D33" s="45" t="n">
        <v>5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15</v>
      </c>
      <c r="N33" s="46" t="n">
        <f aca="false">(M33/M$15)*50+50</f>
        <v>100</v>
      </c>
      <c r="O33" s="46" t="n">
        <f aca="false">N33*0.3</f>
        <v>30</v>
      </c>
      <c r="P33" s="45" t="n">
        <v>100</v>
      </c>
      <c r="Q33" s="45"/>
      <c r="R33" s="45"/>
      <c r="S33" s="45"/>
      <c r="T33" s="45"/>
      <c r="U33" s="46" t="n">
        <f aca="false">SUMIF(P33:T33,"&lt;&gt;",P33:T33)</f>
        <v>100</v>
      </c>
      <c r="V33" s="46" t="n">
        <f aca="false">(U33/U$15)*50+50</f>
        <v>100</v>
      </c>
      <c r="W33" s="46" t="n">
        <f aca="false">V33*0.2</f>
        <v>20</v>
      </c>
      <c r="X33" s="45" t="n">
        <v>85</v>
      </c>
      <c r="Y33" s="46" t="n">
        <f aca="false">(X33/X$15)*50+50</f>
        <v>92.5</v>
      </c>
      <c r="Z33" s="46" t="n">
        <f aca="false">Y33*0.5</f>
        <v>46.25</v>
      </c>
      <c r="AA33" s="47" t="n">
        <f aca="false">SUM(Z33,W33,O33)</f>
        <v>96.25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10</v>
      </c>
      <c r="D34" s="45" t="n">
        <v>4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14</v>
      </c>
      <c r="N34" s="46" t="n">
        <f aca="false">(M34/M$15)*50+50</f>
        <v>96.6666666666667</v>
      </c>
      <c r="O34" s="46" t="n">
        <f aca="false">N34*0.3</f>
        <v>29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 t="n">
        <v>85</v>
      </c>
      <c r="Y34" s="46" t="n">
        <f aca="false">(X34/X$15)*50+50</f>
        <v>92.5</v>
      </c>
      <c r="Z34" s="46" t="n">
        <f aca="false">Y34*0.5</f>
        <v>46.25</v>
      </c>
      <c r="AA34" s="47" t="n">
        <f aca="false">SUM(Z34,W34,O34)</f>
        <v>85.25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10</v>
      </c>
      <c r="D35" s="45" t="n">
        <v>4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14</v>
      </c>
      <c r="N35" s="46" t="n">
        <f aca="false">(M35/M$15)*50+50</f>
        <v>96.6666666666667</v>
      </c>
      <c r="O35" s="46" t="n">
        <f aca="false">N35*0.3</f>
        <v>29</v>
      </c>
      <c r="P35" s="45" t="n">
        <v>100</v>
      </c>
      <c r="Q35" s="45"/>
      <c r="R35" s="45"/>
      <c r="S35" s="45"/>
      <c r="T35" s="45"/>
      <c r="U35" s="46" t="n">
        <f aca="false">SUMIF(P35:T35,"&lt;&gt;",P35:T35)</f>
        <v>100</v>
      </c>
      <c r="V35" s="46" t="n">
        <f aca="false">(U35/U$15)*50+50</f>
        <v>100</v>
      </c>
      <c r="W35" s="46" t="n">
        <f aca="false">V35*0.2</f>
        <v>20</v>
      </c>
      <c r="X35" s="45" t="n">
        <v>80</v>
      </c>
      <c r="Y35" s="46" t="n">
        <f aca="false">(X35/X$15)*50+50</f>
        <v>90</v>
      </c>
      <c r="Z35" s="46" t="n">
        <f aca="false">Y35*0.5</f>
        <v>45</v>
      </c>
      <c r="AA35" s="47" t="n">
        <f aca="false">SUM(Z35,W35,O35)</f>
        <v>94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 t="n">
        <v>10</v>
      </c>
      <c r="D36" s="45" t="n">
        <v>4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14</v>
      </c>
      <c r="N36" s="46" t="n">
        <f aca="false">(M36/M$15)*50+50</f>
        <v>96.6666666666667</v>
      </c>
      <c r="O36" s="46" t="n">
        <f aca="false">N36*0.3</f>
        <v>29</v>
      </c>
      <c r="P36" s="45" t="n">
        <v>100</v>
      </c>
      <c r="Q36" s="45"/>
      <c r="R36" s="45"/>
      <c r="S36" s="45"/>
      <c r="T36" s="45"/>
      <c r="U36" s="46" t="n">
        <f aca="false">SUMIF(P36:T36,"&lt;&gt;",P36:T36)</f>
        <v>100</v>
      </c>
      <c r="V36" s="46" t="n">
        <f aca="false">(U36/U$15)*50+50</f>
        <v>100</v>
      </c>
      <c r="W36" s="46" t="n">
        <f aca="false">V36*0.2</f>
        <v>20</v>
      </c>
      <c r="X36" s="45" t="n">
        <v>80</v>
      </c>
      <c r="Y36" s="46" t="n">
        <f aca="false">(X36/X$15)*50+50</f>
        <v>90</v>
      </c>
      <c r="Z36" s="46" t="n">
        <f aca="false">Y36*0.5</f>
        <v>45</v>
      </c>
      <c r="AA36" s="47" t="n">
        <f aca="false">SUM(Z36,W36,O36)</f>
        <v>94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10</v>
      </c>
      <c r="D37" s="45" t="n">
        <v>4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14</v>
      </c>
      <c r="N37" s="46" t="n">
        <f aca="false">(M37/M$15)*50+50</f>
        <v>96.6666666666667</v>
      </c>
      <c r="O37" s="46" t="n">
        <f aca="false">N37*0.3</f>
        <v>29</v>
      </c>
      <c r="P37" s="45" t="n">
        <v>100</v>
      </c>
      <c r="Q37" s="45"/>
      <c r="R37" s="45"/>
      <c r="S37" s="45"/>
      <c r="T37" s="45"/>
      <c r="U37" s="46" t="n">
        <f aca="false">SUMIF(P37:T37,"&lt;&gt;",P37:T37)</f>
        <v>100</v>
      </c>
      <c r="V37" s="46" t="n">
        <f aca="false">(U37/U$15)*50+50</f>
        <v>100</v>
      </c>
      <c r="W37" s="46" t="n">
        <f aca="false">V37*0.2</f>
        <v>20</v>
      </c>
      <c r="X37" s="45" t="n">
        <v>80</v>
      </c>
      <c r="Y37" s="46" t="n">
        <f aca="false">(X37/X$15)*50+50</f>
        <v>90</v>
      </c>
      <c r="Z37" s="46" t="n">
        <f aca="false">Y37*0.5</f>
        <v>45</v>
      </c>
      <c r="AA37" s="47" t="n">
        <f aca="false">SUM(Z37,W37,O37)</f>
        <v>94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10</v>
      </c>
      <c r="D38" s="45" t="n">
        <v>2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12</v>
      </c>
      <c r="N38" s="46" t="n">
        <f aca="false">(M38/M$15)*50+50</f>
        <v>90</v>
      </c>
      <c r="O38" s="46" t="n">
        <f aca="false">N38*0.3</f>
        <v>27</v>
      </c>
      <c r="P38" s="45"/>
      <c r="Q38" s="45"/>
      <c r="R38" s="45"/>
      <c r="S38" s="45"/>
      <c r="T38" s="45"/>
      <c r="U38" s="46" t="n">
        <f aca="false">SUMIF(P38:T38,"&lt;&gt;",P38:T38)</f>
        <v>0</v>
      </c>
      <c r="V38" s="46" t="n">
        <f aca="false">(U38/U$15)*50+50</f>
        <v>50</v>
      </c>
      <c r="W38" s="46" t="n">
        <f aca="false">V38*0.2</f>
        <v>10</v>
      </c>
      <c r="X38" s="45" t="n">
        <v>80</v>
      </c>
      <c r="Y38" s="46" t="n">
        <f aca="false">(X38/X$15)*50+50</f>
        <v>90</v>
      </c>
      <c r="Z38" s="46" t="n">
        <f aca="false">Y38*0.5</f>
        <v>45</v>
      </c>
      <c r="AA38" s="47" t="n">
        <f aca="false">SUM(Z38,W38,O38)</f>
        <v>82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10</v>
      </c>
      <c r="D39" s="45" t="n">
        <v>5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15</v>
      </c>
      <c r="N39" s="46" t="n">
        <f aca="false">(M39/M$15)*50+50</f>
        <v>100</v>
      </c>
      <c r="O39" s="46" t="n">
        <f aca="false">N39*0.3</f>
        <v>30</v>
      </c>
      <c r="P39" s="45" t="n">
        <v>100</v>
      </c>
      <c r="Q39" s="45"/>
      <c r="R39" s="45"/>
      <c r="S39" s="45"/>
      <c r="T39" s="45"/>
      <c r="U39" s="46" t="n">
        <f aca="false">SUMIF(P39:T39,"&lt;&gt;",P39:T39)</f>
        <v>100</v>
      </c>
      <c r="V39" s="46" t="n">
        <f aca="false">(U39/U$15)*50+50</f>
        <v>100</v>
      </c>
      <c r="W39" s="46" t="n">
        <f aca="false">V39*0.2</f>
        <v>20</v>
      </c>
      <c r="X39" s="45" t="n">
        <v>85</v>
      </c>
      <c r="Y39" s="46" t="n">
        <f aca="false">(X39/X$15)*50+50</f>
        <v>92.5</v>
      </c>
      <c r="Z39" s="46" t="n">
        <f aca="false">Y39*0.5</f>
        <v>46.25</v>
      </c>
      <c r="AA39" s="47" t="n">
        <f aca="false">SUM(Z39,W39,O39)</f>
        <v>96.25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10</v>
      </c>
      <c r="D40" s="45" t="n">
        <v>4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14</v>
      </c>
      <c r="N40" s="46" t="n">
        <f aca="false">(M40/M$15)*50+50</f>
        <v>96.6666666666667</v>
      </c>
      <c r="O40" s="46" t="n">
        <f aca="false">N40*0.3</f>
        <v>29</v>
      </c>
      <c r="P40" s="45" t="n">
        <v>100</v>
      </c>
      <c r="Q40" s="45"/>
      <c r="R40" s="45"/>
      <c r="S40" s="45"/>
      <c r="T40" s="45"/>
      <c r="U40" s="46" t="n">
        <f aca="false">SUMIF(P40:T40,"&lt;&gt;",P40:T40)</f>
        <v>100</v>
      </c>
      <c r="V40" s="46" t="n">
        <f aca="false">(U40/U$15)*50+50</f>
        <v>100</v>
      </c>
      <c r="W40" s="46" t="n">
        <f aca="false">V40*0.2</f>
        <v>20</v>
      </c>
      <c r="X40" s="45" t="n">
        <v>80</v>
      </c>
      <c r="Y40" s="46" t="n">
        <f aca="false">(X40/X$15)*50+50</f>
        <v>90</v>
      </c>
      <c r="Z40" s="46" t="n">
        <f aca="false">Y40*0.5</f>
        <v>45</v>
      </c>
      <c r="AA40" s="47" t="n">
        <f aca="false">SUM(Z40,W40,O40)</f>
        <v>94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10</v>
      </c>
      <c r="D41" s="45" t="n">
        <v>3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13</v>
      </c>
      <c r="N41" s="46" t="n">
        <f aca="false">(M41/M$15)*50+50</f>
        <v>93.3333333333333</v>
      </c>
      <c r="O41" s="46" t="n">
        <f aca="false">N41*0.3</f>
        <v>28</v>
      </c>
      <c r="P41" s="45" t="n">
        <v>100</v>
      </c>
      <c r="Q41" s="45"/>
      <c r="R41" s="45"/>
      <c r="S41" s="45"/>
      <c r="T41" s="45"/>
      <c r="U41" s="46" t="n">
        <f aca="false">SUMIF(P41:T41,"&lt;&gt;",P41:T41)</f>
        <v>100</v>
      </c>
      <c r="V41" s="46" t="n">
        <f aca="false">(U41/U$15)*50+50</f>
        <v>100</v>
      </c>
      <c r="W41" s="46" t="n">
        <f aca="false">V41*0.2</f>
        <v>20</v>
      </c>
      <c r="X41" s="45" t="n">
        <v>80</v>
      </c>
      <c r="Y41" s="46" t="n">
        <f aca="false">(X41/X$15)*50+50</f>
        <v>90</v>
      </c>
      <c r="Z41" s="46" t="n">
        <f aca="false">Y41*0.5</f>
        <v>45</v>
      </c>
      <c r="AA41" s="47" t="n">
        <f aca="false">SUM(Z41,W41,O41)</f>
        <v>93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 t="n">
        <v>10</v>
      </c>
      <c r="D42" s="45" t="n">
        <v>4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14</v>
      </c>
      <c r="N42" s="46" t="n">
        <f aca="false">(M42/M$15)*50+50</f>
        <v>96.6666666666667</v>
      </c>
      <c r="O42" s="46" t="n">
        <f aca="false">N42*0.3</f>
        <v>29</v>
      </c>
      <c r="P42" s="45" t="n">
        <v>100</v>
      </c>
      <c r="Q42" s="45"/>
      <c r="R42" s="45"/>
      <c r="S42" s="45"/>
      <c r="T42" s="45"/>
      <c r="U42" s="46" t="n">
        <f aca="false">SUMIF(P42:T42,"&lt;&gt;",P42:T42)</f>
        <v>100</v>
      </c>
      <c r="V42" s="46" t="n">
        <f aca="false">(U42/U$15)*50+50</f>
        <v>100</v>
      </c>
      <c r="W42" s="46" t="n">
        <f aca="false">V42*0.2</f>
        <v>20</v>
      </c>
      <c r="X42" s="45" t="n">
        <v>80</v>
      </c>
      <c r="Y42" s="46" t="n">
        <f aca="false">(X42/X$15)*50+50</f>
        <v>90</v>
      </c>
      <c r="Z42" s="46" t="n">
        <f aca="false">Y42*0.5</f>
        <v>45</v>
      </c>
      <c r="AA42" s="47" t="n">
        <f aca="false">SUM(Z42,W42,O42)</f>
        <v>94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10</v>
      </c>
      <c r="D43" s="45" t="n">
        <v>4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14</v>
      </c>
      <c r="N43" s="46" t="n">
        <f aca="false">(M43/M$15)*50+50</f>
        <v>96.6666666666667</v>
      </c>
      <c r="O43" s="46" t="n">
        <f aca="false">N43*0.3</f>
        <v>29</v>
      </c>
      <c r="P43" s="45"/>
      <c r="Q43" s="45"/>
      <c r="R43" s="45"/>
      <c r="S43" s="45"/>
      <c r="T43" s="45"/>
      <c r="U43" s="46" t="n">
        <f aca="false">SUMIF(P43:T43,"&lt;&gt;",P43:T43)</f>
        <v>0</v>
      </c>
      <c r="V43" s="46" t="n">
        <f aca="false">(U43/U$15)*50+50</f>
        <v>50</v>
      </c>
      <c r="W43" s="46" t="n">
        <f aca="false">V43*0.2</f>
        <v>10</v>
      </c>
      <c r="X43" s="45" t="n">
        <v>80</v>
      </c>
      <c r="Y43" s="46" t="n">
        <f aca="false">(X43/X$15)*50+50</f>
        <v>90</v>
      </c>
      <c r="Z43" s="46" t="n">
        <f aca="false">Y43*0.5</f>
        <v>45</v>
      </c>
      <c r="AA43" s="47" t="n">
        <f aca="false">SUM(Z43,W43,O43)</f>
        <v>84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10</v>
      </c>
      <c r="D44" s="45" t="n">
        <v>5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15</v>
      </c>
      <c r="N44" s="46" t="n">
        <f aca="false">(M44/M$15)*50+50</f>
        <v>100</v>
      </c>
      <c r="O44" s="46" t="n">
        <f aca="false">N44*0.3</f>
        <v>30</v>
      </c>
      <c r="P44" s="45" t="n">
        <v>100</v>
      </c>
      <c r="Q44" s="45"/>
      <c r="R44" s="45"/>
      <c r="S44" s="45"/>
      <c r="T44" s="45"/>
      <c r="U44" s="46" t="n">
        <f aca="false">SUMIF(P44:T44,"&lt;&gt;",P44:T44)</f>
        <v>100</v>
      </c>
      <c r="V44" s="46" t="n">
        <f aca="false">(U44/U$15)*50+50</f>
        <v>100</v>
      </c>
      <c r="W44" s="46" t="n">
        <f aca="false">V44*0.2</f>
        <v>20</v>
      </c>
      <c r="X44" s="45" t="n">
        <v>85</v>
      </c>
      <c r="Y44" s="46" t="n">
        <f aca="false">(X44/X$15)*50+50</f>
        <v>92.5</v>
      </c>
      <c r="Z44" s="46" t="n">
        <f aca="false">Y44*0.5</f>
        <v>46.25</v>
      </c>
      <c r="AA44" s="47" t="n">
        <f aca="false">SUM(Z44,W44,O44)</f>
        <v>96.25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10</v>
      </c>
      <c r="D45" s="45" t="n">
        <v>5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15</v>
      </c>
      <c r="N45" s="46" t="n">
        <f aca="false">(M45/M$15)*50+50</f>
        <v>100</v>
      </c>
      <c r="O45" s="46" t="n">
        <f aca="false">N45*0.3</f>
        <v>30</v>
      </c>
      <c r="P45" s="45" t="n">
        <v>100</v>
      </c>
      <c r="Q45" s="45"/>
      <c r="R45" s="45"/>
      <c r="S45" s="45"/>
      <c r="T45" s="45"/>
      <c r="U45" s="46" t="n">
        <f aca="false">SUMIF(P45:T45,"&lt;&gt;",P45:T45)</f>
        <v>100</v>
      </c>
      <c r="V45" s="46" t="n">
        <f aca="false">(U45/U$15)*50+50</f>
        <v>100</v>
      </c>
      <c r="W45" s="46" t="n">
        <f aca="false">V45*0.2</f>
        <v>20</v>
      </c>
      <c r="X45" s="45" t="n">
        <v>80</v>
      </c>
      <c r="Y45" s="46" t="n">
        <f aca="false">(X45/X$15)*50+50</f>
        <v>90</v>
      </c>
      <c r="Z45" s="46" t="n">
        <f aca="false">Y45*0.5</f>
        <v>45</v>
      </c>
      <c r="AA45" s="47" t="n">
        <f aca="false">SUM(Z45,W45,O45)</f>
        <v>95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10</v>
      </c>
      <c r="D46" s="45" t="n">
        <v>3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13</v>
      </c>
      <c r="N46" s="46" t="n">
        <f aca="false">(M46/M$15)*50+50</f>
        <v>93.3333333333333</v>
      </c>
      <c r="O46" s="46" t="n">
        <f aca="false">N46*0.3</f>
        <v>28</v>
      </c>
      <c r="P46" s="45"/>
      <c r="Q46" s="45"/>
      <c r="R46" s="45"/>
      <c r="S46" s="45"/>
      <c r="T46" s="45"/>
      <c r="U46" s="46" t="n">
        <f aca="false">SUMIF(P46:T46,"&lt;&gt;",P46:T46)</f>
        <v>0</v>
      </c>
      <c r="V46" s="46" t="n">
        <f aca="false">(U46/U$15)*50+50</f>
        <v>50</v>
      </c>
      <c r="W46" s="46" t="n">
        <f aca="false">V46*0.2</f>
        <v>10</v>
      </c>
      <c r="X46" s="45" t="n">
        <v>80</v>
      </c>
      <c r="Y46" s="46" t="n">
        <f aca="false">(X46/X$15)*50+50</f>
        <v>90</v>
      </c>
      <c r="Z46" s="46" t="n">
        <f aca="false">Y46*0.5</f>
        <v>45</v>
      </c>
      <c r="AA46" s="47" t="n">
        <f aca="false">SUM(Z46,W46,O46)</f>
        <v>83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/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/>
      <c r="Y47" s="46" t="n">
        <f aca="false">(X47/X$15)*50+50</f>
        <v>50</v>
      </c>
      <c r="Z47" s="46" t="n">
        <f aca="false">Y47*0.5</f>
        <v>25</v>
      </c>
      <c r="AA47" s="47" t="n">
        <f aca="false">SUM(Z47,W47,O47)</f>
        <v>50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10</v>
      </c>
      <c r="D48" s="45" t="n">
        <v>5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15</v>
      </c>
      <c r="N48" s="46" t="n">
        <f aca="false">(M48/M$15)*50+50</f>
        <v>100</v>
      </c>
      <c r="O48" s="46" t="n">
        <f aca="false">N48*0.3</f>
        <v>30</v>
      </c>
      <c r="P48" s="45" t="n">
        <v>100</v>
      </c>
      <c r="Q48" s="45"/>
      <c r="R48" s="45"/>
      <c r="S48" s="45"/>
      <c r="T48" s="45"/>
      <c r="U48" s="46" t="n">
        <f aca="false">SUMIF(P48:T48,"&lt;&gt;",P48:T48)</f>
        <v>100</v>
      </c>
      <c r="V48" s="46" t="n">
        <f aca="false">(U48/U$15)*50+50</f>
        <v>100</v>
      </c>
      <c r="W48" s="46" t="n">
        <f aca="false">V48*0.2</f>
        <v>20</v>
      </c>
      <c r="X48" s="45" t="n">
        <v>80</v>
      </c>
      <c r="Y48" s="46" t="n">
        <f aca="false">(X48/X$15)*50+50</f>
        <v>90</v>
      </c>
      <c r="Z48" s="46" t="n">
        <f aca="false">Y48*0.5</f>
        <v>45</v>
      </c>
      <c r="AA48" s="47" t="n">
        <f aca="false">SUM(Z48,W48,O48)</f>
        <v>95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10</v>
      </c>
      <c r="D49" s="45" t="n">
        <v>5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15</v>
      </c>
      <c r="N49" s="46" t="n">
        <f aca="false">(M49/M$15)*50+50</f>
        <v>100</v>
      </c>
      <c r="O49" s="48" t="n">
        <f aca="false">N49*0.3</f>
        <v>30</v>
      </c>
      <c r="P49" s="45" t="n">
        <v>100</v>
      </c>
      <c r="Q49" s="45"/>
      <c r="R49" s="45"/>
      <c r="S49" s="45"/>
      <c r="T49" s="45"/>
      <c r="U49" s="46" t="n">
        <f aca="false">SUMIF(P49:T49,"&lt;&gt;",P49:T49)</f>
        <v>100</v>
      </c>
      <c r="V49" s="46" t="n">
        <f aca="false">(U49/U$15)*50+50</f>
        <v>100</v>
      </c>
      <c r="W49" s="46" t="n">
        <f aca="false">V49*0.2</f>
        <v>20</v>
      </c>
      <c r="X49" s="45" t="n">
        <v>80</v>
      </c>
      <c r="Y49" s="46" t="n">
        <f aca="false">(X49/X$15)*50+50</f>
        <v>90</v>
      </c>
      <c r="Z49" s="46" t="n">
        <f aca="false">Y49*0.5</f>
        <v>45</v>
      </c>
      <c r="AA49" s="47" t="n">
        <f aca="false">SUM(Z49,W49,O49)</f>
        <v>95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10</v>
      </c>
      <c r="D50" s="45" t="n">
        <v>3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13</v>
      </c>
      <c r="N50" s="46" t="n">
        <f aca="false">(M50/M$15)*50+50</f>
        <v>93.3333333333333</v>
      </c>
      <c r="O50" s="48" t="n">
        <f aca="false">N50*0.3</f>
        <v>28</v>
      </c>
      <c r="P50" s="45" t="n">
        <v>100</v>
      </c>
      <c r="Q50" s="45"/>
      <c r="R50" s="45"/>
      <c r="S50" s="45"/>
      <c r="T50" s="45"/>
      <c r="U50" s="46" t="n">
        <f aca="false">SUMIF(P50:T50,"&lt;&gt;",P50:T50)</f>
        <v>100</v>
      </c>
      <c r="V50" s="46" t="n">
        <f aca="false">(U50/U$15)*50+50</f>
        <v>100</v>
      </c>
      <c r="W50" s="46" t="n">
        <f aca="false">V50*0.2</f>
        <v>20</v>
      </c>
      <c r="X50" s="45" t="n">
        <v>80</v>
      </c>
      <c r="Y50" s="46" t="n">
        <f aca="false">(X50/X$15)*50+50</f>
        <v>90</v>
      </c>
      <c r="Z50" s="46" t="n">
        <f aca="false">Y50*0.5</f>
        <v>45</v>
      </c>
      <c r="AA50" s="47" t="n">
        <f aca="false">SUM(Z50,W50,O50)</f>
        <v>93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10</v>
      </c>
      <c r="D51" s="45" t="n">
        <v>5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15</v>
      </c>
      <c r="N51" s="46" t="n">
        <f aca="false">(M51/M$15)*50+50</f>
        <v>100</v>
      </c>
      <c r="O51" s="48" t="n">
        <f aca="false">N51*0.3</f>
        <v>30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 t="n">
        <v>85</v>
      </c>
      <c r="Y51" s="46" t="n">
        <f aca="false">(X51/X$15)*50+50</f>
        <v>92.5</v>
      </c>
      <c r="Z51" s="46" t="n">
        <f aca="false">Y51*0.5</f>
        <v>46.25</v>
      </c>
      <c r="AA51" s="47" t="n">
        <f aca="false">SUM(Z51,W51,O51)</f>
        <v>86.25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10</v>
      </c>
      <c r="D52" s="45" t="n">
        <v>4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14</v>
      </c>
      <c r="N52" s="46" t="n">
        <f aca="false">(M52/M$15)*50+50</f>
        <v>96.6666666666667</v>
      </c>
      <c r="O52" s="48" t="n">
        <f aca="false">N52*0.3</f>
        <v>29</v>
      </c>
      <c r="P52" s="45"/>
      <c r="Q52" s="45"/>
      <c r="R52" s="45"/>
      <c r="S52" s="45"/>
      <c r="T52" s="45"/>
      <c r="U52" s="46" t="n">
        <f aca="false">SUMIF(P52:T52,"&lt;&gt;",P52:T52)</f>
        <v>0</v>
      </c>
      <c r="V52" s="46" t="n">
        <f aca="false">(U52/U$15)*50+50</f>
        <v>50</v>
      </c>
      <c r="W52" s="46" t="n">
        <f aca="false">V52*0.2</f>
        <v>10</v>
      </c>
      <c r="X52" s="45" t="n">
        <v>80</v>
      </c>
      <c r="Y52" s="46" t="n">
        <f aca="false">(X52/X$15)*50+50</f>
        <v>90</v>
      </c>
      <c r="Z52" s="46" t="n">
        <f aca="false">Y52*0.5</f>
        <v>45</v>
      </c>
      <c r="AA52" s="47" t="n">
        <f aca="false">SUM(Z52,W52,O52)</f>
        <v>84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0</v>
      </c>
      <c r="N53" s="46" t="n">
        <f aca="false">(M53/M$15)*50+50</f>
        <v>50</v>
      </c>
      <c r="O53" s="48" t="n">
        <f aca="false">N53*0.3</f>
        <v>15</v>
      </c>
      <c r="P53" s="45" t="n">
        <v>100</v>
      </c>
      <c r="Q53" s="45"/>
      <c r="R53" s="45"/>
      <c r="S53" s="45"/>
      <c r="T53" s="45"/>
      <c r="U53" s="46" t="n">
        <f aca="false">SUMIF(P53:T53,"&lt;&gt;",P53:T53)</f>
        <v>100</v>
      </c>
      <c r="V53" s="46" t="n">
        <f aca="false">(U53/U$15)*50+50</f>
        <v>100</v>
      </c>
      <c r="W53" s="46" t="n">
        <f aca="false">V53*0.2</f>
        <v>20</v>
      </c>
      <c r="X53" s="45" t="n">
        <v>90</v>
      </c>
      <c r="Y53" s="46" t="n">
        <f aca="false">(X53/X$15)*50+50</f>
        <v>95</v>
      </c>
      <c r="Z53" s="46" t="n">
        <f aca="false">Y53*0.5</f>
        <v>47.5</v>
      </c>
      <c r="AA53" s="47" t="n">
        <f aca="false">SUM(Z53,W53,O53)</f>
        <v>82.5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10</v>
      </c>
      <c r="D54" s="45" t="n">
        <v>4</v>
      </c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14</v>
      </c>
      <c r="N54" s="46" t="n">
        <f aca="false">(M54/M$15)*50+50</f>
        <v>96.6666666666667</v>
      </c>
      <c r="O54" s="48" t="n">
        <f aca="false">N54*0.3</f>
        <v>29</v>
      </c>
      <c r="P54" s="45" t="n">
        <v>100</v>
      </c>
      <c r="Q54" s="45"/>
      <c r="R54" s="45"/>
      <c r="S54" s="45"/>
      <c r="T54" s="45"/>
      <c r="U54" s="46" t="n">
        <f aca="false">SUMIF(P54:T54,"&lt;&gt;",P54:T54)</f>
        <v>100</v>
      </c>
      <c r="V54" s="46" t="n">
        <f aca="false">(U54/U$15)*50+50</f>
        <v>100</v>
      </c>
      <c r="W54" s="46" t="n">
        <f aca="false">V54*0.2</f>
        <v>20</v>
      </c>
      <c r="X54" s="45" t="n">
        <v>85</v>
      </c>
      <c r="Y54" s="46" t="n">
        <f aca="false">(X54/X$15)*50+50</f>
        <v>92.5</v>
      </c>
      <c r="Z54" s="46" t="n">
        <f aca="false">Y54*0.5</f>
        <v>46.25</v>
      </c>
      <c r="AA54" s="47" t="n">
        <f aca="false">SUM(Z54,W54,O54)</f>
        <v>95.25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10</v>
      </c>
      <c r="D55" s="45" t="n">
        <v>5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15</v>
      </c>
      <c r="N55" s="46" t="n">
        <f aca="false">(M55/M$15)*50+50</f>
        <v>100</v>
      </c>
      <c r="O55" s="48" t="n">
        <f aca="false">N55*0.3</f>
        <v>30</v>
      </c>
      <c r="P55" s="45" t="n">
        <v>100</v>
      </c>
      <c r="Q55" s="45"/>
      <c r="R55" s="45"/>
      <c r="S55" s="45"/>
      <c r="T55" s="45"/>
      <c r="U55" s="46" t="n">
        <f aca="false">SUMIF(P55:T55,"&lt;&gt;",P55:T55)</f>
        <v>100</v>
      </c>
      <c r="V55" s="46" t="n">
        <f aca="false">(U55/U$15)*50+50</f>
        <v>100</v>
      </c>
      <c r="W55" s="46" t="n">
        <f aca="false">V55*0.2</f>
        <v>20</v>
      </c>
      <c r="X55" s="45" t="n">
        <v>85</v>
      </c>
      <c r="Y55" s="46" t="n">
        <f aca="false">(X55/X$15)*50+50</f>
        <v>92.5</v>
      </c>
      <c r="Z55" s="46" t="n">
        <f aca="false">Y55*0.5</f>
        <v>46.25</v>
      </c>
      <c r="AA55" s="47" t="n">
        <f aca="false">SUM(Z55,W55,O55)</f>
        <v>96.25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10</v>
      </c>
      <c r="D56" s="45" t="n">
        <v>4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14</v>
      </c>
      <c r="N56" s="46" t="n">
        <f aca="false">(M56/M$15)*50+50</f>
        <v>96.6666666666667</v>
      </c>
      <c r="O56" s="48" t="n">
        <f aca="false">N56*0.3</f>
        <v>29</v>
      </c>
      <c r="P56" s="45"/>
      <c r="Q56" s="45"/>
      <c r="R56" s="45"/>
      <c r="S56" s="45"/>
      <c r="T56" s="45"/>
      <c r="U56" s="46" t="n">
        <f aca="false">SUMIF(P56:T56,"&lt;&gt;",P56:T56)</f>
        <v>0</v>
      </c>
      <c r="V56" s="46" t="n">
        <f aca="false">(U56/U$15)*50+50</f>
        <v>50</v>
      </c>
      <c r="W56" s="46" t="n">
        <f aca="false">V56*0.2</f>
        <v>10</v>
      </c>
      <c r="X56" s="45" t="n">
        <v>80</v>
      </c>
      <c r="Y56" s="46" t="n">
        <f aca="false">(X56/X$15)*50+50</f>
        <v>90</v>
      </c>
      <c r="Z56" s="46" t="n">
        <f aca="false">Y56*0.5</f>
        <v>45</v>
      </c>
      <c r="AA56" s="47" t="n">
        <f aca="false">SUM(Z56,W56,O56)</f>
        <v>84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 t="n">
        <v>80</v>
      </c>
      <c r="Y57" s="46" t="n">
        <f aca="false">(X57/X$15)*50+50</f>
        <v>90</v>
      </c>
      <c r="Z57" s="46" t="n">
        <f aca="false">Y57*0.5</f>
        <v>45</v>
      </c>
      <c r="AA57" s="47" t="n">
        <f aca="false">SUM(Z57,W57,O57)</f>
        <v>70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10</v>
      </c>
      <c r="D58" s="45" t="n">
        <v>4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14</v>
      </c>
      <c r="N58" s="46" t="n">
        <f aca="false">(M58/M$15)*50+50</f>
        <v>96.6666666666667</v>
      </c>
      <c r="O58" s="48" t="n">
        <f aca="false">N58*0.3</f>
        <v>29</v>
      </c>
      <c r="P58" s="45" t="n">
        <v>100</v>
      </c>
      <c r="Q58" s="45"/>
      <c r="R58" s="45"/>
      <c r="S58" s="45"/>
      <c r="T58" s="45"/>
      <c r="U58" s="46" t="n">
        <f aca="false">SUMIF(P58:T58,"&lt;&gt;",P58:T58)</f>
        <v>100</v>
      </c>
      <c r="V58" s="46" t="n">
        <f aca="false">(U58/U$15)*50+50</f>
        <v>100</v>
      </c>
      <c r="W58" s="46" t="n">
        <f aca="false">V58*0.2</f>
        <v>20</v>
      </c>
      <c r="X58" s="45" t="n">
        <v>80</v>
      </c>
      <c r="Y58" s="46" t="n">
        <f aca="false">(X58/X$15)*50+50</f>
        <v>90</v>
      </c>
      <c r="Z58" s="46" t="n">
        <f aca="false">Y58*0.5</f>
        <v>45</v>
      </c>
      <c r="AA58" s="47" t="n">
        <f aca="false">SUM(Z58,W58,O58)</f>
        <v>94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5</v>
      </c>
      <c r="D59" s="45" t="n">
        <v>3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8</v>
      </c>
      <c r="N59" s="46" t="n">
        <f aca="false">(M59/M$15)*50+50</f>
        <v>76.6666666666667</v>
      </c>
      <c r="O59" s="48" t="n">
        <f aca="false">N59*0.3</f>
        <v>23</v>
      </c>
      <c r="P59" s="45" t="n">
        <v>100</v>
      </c>
      <c r="Q59" s="45"/>
      <c r="R59" s="45"/>
      <c r="S59" s="45"/>
      <c r="T59" s="45"/>
      <c r="U59" s="46" t="n">
        <f aca="false">SUMIF(P59:T59,"&lt;&gt;",P59:T59)</f>
        <v>100</v>
      </c>
      <c r="V59" s="46" t="n">
        <f aca="false">(U59/U$15)*50+50</f>
        <v>100</v>
      </c>
      <c r="W59" s="46" t="n">
        <f aca="false">V59*0.2</f>
        <v>20</v>
      </c>
      <c r="X59" s="45" t="n">
        <v>85</v>
      </c>
      <c r="Y59" s="46" t="n">
        <f aca="false">(X59/X$15)*50+50</f>
        <v>92.5</v>
      </c>
      <c r="Z59" s="46" t="n">
        <f aca="false">Y59*0.5</f>
        <v>46.25</v>
      </c>
      <c r="AA59" s="47" t="n">
        <f aca="false">SUM(Z59,W59,O59)</f>
        <v>89.25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5</v>
      </c>
      <c r="D60" s="45" t="n">
        <v>2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7</v>
      </c>
      <c r="N60" s="46" t="n">
        <f aca="false">(M60/M$15)*50+50</f>
        <v>73.3333333333333</v>
      </c>
      <c r="O60" s="48" t="n">
        <f aca="false">N60*0.3</f>
        <v>22</v>
      </c>
      <c r="P60" s="45" t="n">
        <v>100</v>
      </c>
      <c r="Q60" s="45"/>
      <c r="R60" s="45"/>
      <c r="S60" s="45"/>
      <c r="T60" s="45"/>
      <c r="U60" s="46" t="n">
        <f aca="false">SUMIF(P60:T60,"&lt;&gt;",P60:T60)</f>
        <v>100</v>
      </c>
      <c r="V60" s="46" t="n">
        <f aca="false">(U60/U$15)*50+50</f>
        <v>100</v>
      </c>
      <c r="W60" s="46" t="n">
        <f aca="false">V60*0.2</f>
        <v>20</v>
      </c>
      <c r="X60" s="45" t="n">
        <v>85</v>
      </c>
      <c r="Y60" s="46" t="n">
        <f aca="false">(X60/X$15)*50+50</f>
        <v>92.5</v>
      </c>
      <c r="Z60" s="46" t="n">
        <f aca="false">Y60*0.5</f>
        <v>46.25</v>
      </c>
      <c r="AA60" s="47" t="n">
        <f aca="false">SUM(Z60,W60,O60)</f>
        <v>88.25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10</v>
      </c>
      <c r="D61" s="45" t="n">
        <v>5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15</v>
      </c>
      <c r="N61" s="46" t="n">
        <f aca="false">(M61/M$15)*50+50</f>
        <v>100</v>
      </c>
      <c r="O61" s="48" t="n">
        <f aca="false">N61*0.3</f>
        <v>30</v>
      </c>
      <c r="P61" s="45" t="n">
        <v>100</v>
      </c>
      <c r="Q61" s="45"/>
      <c r="R61" s="45"/>
      <c r="S61" s="45"/>
      <c r="T61" s="45"/>
      <c r="U61" s="46" t="n">
        <f aca="false">SUMIF(P61:T61,"&lt;&gt;",P61:T61)</f>
        <v>100</v>
      </c>
      <c r="V61" s="46" t="n">
        <f aca="false">(U61/U$15)*50+50</f>
        <v>100</v>
      </c>
      <c r="W61" s="46" t="n">
        <f aca="false">V61*0.2</f>
        <v>20</v>
      </c>
      <c r="X61" s="45" t="n">
        <v>80</v>
      </c>
      <c r="Y61" s="46" t="n">
        <f aca="false">(X61/X$15)*50+50</f>
        <v>90</v>
      </c>
      <c r="Z61" s="46" t="n">
        <f aca="false">Y61*0.5</f>
        <v>45</v>
      </c>
      <c r="AA61" s="47" t="n">
        <f aca="false">SUM(Z61,W61,O61)</f>
        <v>95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10</v>
      </c>
      <c r="D62" s="45" t="n">
        <v>4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14</v>
      </c>
      <c r="N62" s="46" t="n">
        <f aca="false">(M62/M$15)*50+50</f>
        <v>96.6666666666667</v>
      </c>
      <c r="O62" s="48" t="n">
        <f aca="false">N62*0.3</f>
        <v>29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 t="n">
        <v>80</v>
      </c>
      <c r="Y62" s="46" t="n">
        <f aca="false">(X62/X$15)*50+50</f>
        <v>90</v>
      </c>
      <c r="Z62" s="46" t="n">
        <f aca="false">Y62*0.5</f>
        <v>45</v>
      </c>
      <c r="AA62" s="47" t="n">
        <f aca="false">SUM(Z62,W62,O62)</f>
        <v>84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10</v>
      </c>
      <c r="D63" s="45" t="n">
        <v>4</v>
      </c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14</v>
      </c>
      <c r="N63" s="46" t="n">
        <f aca="false">(M63/M$15)*50+50</f>
        <v>96.6666666666667</v>
      </c>
      <c r="O63" s="48" t="n">
        <f aca="false">N63*0.3</f>
        <v>29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 t="n">
        <v>80</v>
      </c>
      <c r="Y63" s="46" t="n">
        <f aca="false">(X63/X$15)*50+50</f>
        <v>90</v>
      </c>
      <c r="Z63" s="46" t="n">
        <f aca="false">Y63*0.5</f>
        <v>45</v>
      </c>
      <c r="AA63" s="47" t="n">
        <f aca="false">SUM(Z63,W63,O63)</f>
        <v>84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ZUILO, DANIEL</v>
      </c>
      <c r="C64" s="45" t="n">
        <v>10</v>
      </c>
      <c r="D64" s="45" t="n">
        <v>5</v>
      </c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15</v>
      </c>
      <c r="N64" s="46" t="n">
        <f aca="false">(M64/M$15)*50+50</f>
        <v>100</v>
      </c>
      <c r="O64" s="48" t="n">
        <f aca="false">N64*0.3</f>
        <v>30</v>
      </c>
      <c r="P64" s="45" t="n">
        <v>100</v>
      </c>
      <c r="Q64" s="45"/>
      <c r="R64" s="45"/>
      <c r="S64" s="45"/>
      <c r="T64" s="45"/>
      <c r="U64" s="46" t="n">
        <f aca="false">SUMIF(P64:T64,"&lt;&gt;",P64:T64)</f>
        <v>100</v>
      </c>
      <c r="V64" s="46" t="n">
        <f aca="false">(U64/U$15)*50+50</f>
        <v>100</v>
      </c>
      <c r="W64" s="46" t="n">
        <f aca="false">V64*0.2</f>
        <v>20</v>
      </c>
      <c r="X64" s="45" t="n">
        <v>90</v>
      </c>
      <c r="Y64" s="46" t="n">
        <f aca="false">(X64/X$15)*50+50</f>
        <v>95</v>
      </c>
      <c r="Z64" s="46" t="n">
        <f aca="false">Y64*0.5</f>
        <v>47.5</v>
      </c>
      <c r="AA64" s="47" t="n">
        <f aca="false">SUM(Z64,W64,O64)</f>
        <v>97.5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BASOY, TRIXIE LAURENCE</v>
      </c>
      <c r="C65" s="45" t="n">
        <v>6</v>
      </c>
      <c r="D65" s="45" t="n">
        <v>4</v>
      </c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10</v>
      </c>
      <c r="N65" s="46" t="n">
        <f aca="false">(M65/M$15)*50+50</f>
        <v>83.3333333333333</v>
      </c>
      <c r="O65" s="48" t="n">
        <f aca="false">N65*0.3</f>
        <v>25</v>
      </c>
      <c r="P65" s="45" t="n">
        <v>100</v>
      </c>
      <c r="Q65" s="45"/>
      <c r="R65" s="45"/>
      <c r="S65" s="45"/>
      <c r="T65" s="45"/>
      <c r="U65" s="46" t="n">
        <f aca="false">SUMIF(P65:T65,"&lt;&gt;",P65:T65)</f>
        <v>100</v>
      </c>
      <c r="V65" s="46" t="n">
        <f aca="false">(U65/U$15)*50+50</f>
        <v>100</v>
      </c>
      <c r="W65" s="46" t="n">
        <f aca="false">V65*0.2</f>
        <v>20</v>
      </c>
      <c r="X65" s="45" t="n">
        <v>80</v>
      </c>
      <c r="Y65" s="46" t="n">
        <f aca="false">(X65/X$15)*50+50</f>
        <v>90</v>
      </c>
      <c r="Z65" s="46" t="n">
        <f aca="false">Y65*0.5</f>
        <v>45</v>
      </c>
      <c r="AA65" s="47" t="n">
        <f aca="false">SUM(Z65,W65,O65)</f>
        <v>90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false" showOutlineSymbols="true" defaultGridColor="true" view="normal" topLeftCell="A16" colorId="64" zoomScale="60" zoomScaleNormal="60" zoomScalePageLayoutView="100" workbookViewId="0">
      <selection pane="topLeft" activeCell="V47" activeCellId="0" sqref="V47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96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97</v>
      </c>
      <c r="F13" s="55"/>
      <c r="G13" s="55"/>
      <c r="H13" s="55"/>
      <c r="I13" s="55"/>
      <c r="J13" s="55"/>
      <c r="K13" s="55"/>
      <c r="L13" s="55"/>
      <c r="M13" s="55" t="s">
        <v>98</v>
      </c>
      <c r="N13" s="55"/>
      <c r="O13" s="55"/>
      <c r="P13" s="55"/>
      <c r="Q13" s="55"/>
      <c r="R13" s="55"/>
      <c r="S13" s="55" t="s">
        <v>99</v>
      </c>
      <c r="T13" s="55"/>
      <c r="U13" s="55"/>
      <c r="V13" s="55" t="s">
        <v>100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EGCA, JOHN CRIS GAYARES</v>
      </c>
      <c r="C16" s="56"/>
      <c r="D16" s="57" t="n">
        <f aca="false">'Input Data'!G20</f>
        <v>0</v>
      </c>
      <c r="E16" s="58" t="n">
        <f aca="false">ROUND(PRELIM!AA16,0)</f>
        <v>70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80</v>
      </c>
      <c r="N16" s="58"/>
      <c r="O16" s="58"/>
      <c r="P16" s="58"/>
      <c r="Q16" s="58"/>
      <c r="R16" s="58"/>
      <c r="S16" s="58" t="n">
        <f aca="false">ROUND(ENDTERM!AA16,0)</f>
        <v>83</v>
      </c>
      <c r="T16" s="58"/>
      <c r="U16" s="58"/>
      <c r="V16" s="59" t="n">
        <f aca="false">(E16*0.3)+(M16*0.3)+(S16*0.4)</f>
        <v>78.2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ESCABARTE, MARK GIL PEDRAJAS</v>
      </c>
      <c r="C17" s="56"/>
      <c r="D17" s="60" t="n">
        <f aca="false">'Input Data'!G21</f>
        <v>0</v>
      </c>
      <c r="E17" s="61" t="n">
        <f aca="false">ROUND(PRELIM!AA17,0)</f>
        <v>73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75</v>
      </c>
      <c r="N17" s="61"/>
      <c r="O17" s="61"/>
      <c r="P17" s="61"/>
      <c r="Q17" s="61"/>
      <c r="R17" s="61"/>
      <c r="S17" s="61" t="n">
        <f aca="false">ROUND(ENDTERM!AA17,0)</f>
        <v>80</v>
      </c>
      <c r="T17" s="61"/>
      <c r="U17" s="61"/>
      <c r="V17" s="62" t="n">
        <f aca="false">(E17*0.3)+(M17*0.3)+(S17*0.4)</f>
        <v>76.4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ESCALANTE, BRYAN JAY SUBARDIAGA</v>
      </c>
      <c r="C18" s="56"/>
      <c r="D18" s="60" t="n">
        <f aca="false">'Input Data'!G22</f>
        <v>0</v>
      </c>
      <c r="E18" s="61" t="n">
        <f aca="false">ROUND(PRELIM!AA18,0)</f>
        <v>87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85</v>
      </c>
      <c r="N18" s="61"/>
      <c r="O18" s="61"/>
      <c r="P18" s="61"/>
      <c r="Q18" s="61"/>
      <c r="R18" s="61"/>
      <c r="S18" s="61" t="n">
        <f aca="false">ROUND(ENDTERM!AA18,0)</f>
        <v>94</v>
      </c>
      <c r="T18" s="61"/>
      <c r="U18" s="61"/>
      <c r="V18" s="62" t="n">
        <f aca="false">(E18*0.3)+(M18*0.3)+(S18*0.4)</f>
        <v>89.2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ESTOYA, JILWIN JOSEPH LHIAN  PEÑFLORIDA</v>
      </c>
      <c r="C19" s="56"/>
      <c r="D19" s="60" t="n">
        <f aca="false">'Input Data'!G23</f>
        <v>0</v>
      </c>
      <c r="E19" s="61" t="n">
        <f aca="false">ROUND(PRELIM!AA19,0)</f>
        <v>90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88</v>
      </c>
      <c r="N19" s="61"/>
      <c r="O19" s="61"/>
      <c r="P19" s="61"/>
      <c r="Q19" s="61"/>
      <c r="R19" s="61"/>
      <c r="S19" s="61" t="n">
        <f aca="false">ROUND(ENDTERM!AA19,0)</f>
        <v>94</v>
      </c>
      <c r="T19" s="61"/>
      <c r="U19" s="61"/>
      <c r="V19" s="62" t="n">
        <f aca="false">(E19*0.3)+(M19*0.3)+(S19*0.4)</f>
        <v>91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FAMOSO, ALTHEA ENRIQUEZ</v>
      </c>
      <c r="C20" s="56"/>
      <c r="D20" s="60" t="n">
        <f aca="false">'Input Data'!G24</f>
        <v>0</v>
      </c>
      <c r="E20" s="61" t="n">
        <f aca="false">ROUND(PRELIM!AA20,0)</f>
        <v>90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95</v>
      </c>
      <c r="N20" s="61"/>
      <c r="O20" s="61"/>
      <c r="P20" s="61"/>
      <c r="Q20" s="61"/>
      <c r="R20" s="61"/>
      <c r="S20" s="61" t="n">
        <f aca="false">ROUND(ENDTERM!AA20,0)</f>
        <v>86</v>
      </c>
      <c r="T20" s="61"/>
      <c r="U20" s="61"/>
      <c r="V20" s="62" t="n">
        <f aca="false">(E20*0.3)+(M20*0.3)+(S20*0.4)</f>
        <v>89.9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FAMOSO, CARL TIA</v>
      </c>
      <c r="C21" s="56"/>
      <c r="D21" s="60" t="n">
        <f aca="false">'Input Data'!G25</f>
        <v>0</v>
      </c>
      <c r="E21" s="61" t="n">
        <f aca="false">ROUND(PRELIM!AA21,0)</f>
        <v>84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76</v>
      </c>
      <c r="N21" s="61"/>
      <c r="O21" s="61"/>
      <c r="P21" s="61"/>
      <c r="Q21" s="61"/>
      <c r="R21" s="61"/>
      <c r="S21" s="61" t="n">
        <f aca="false">ROUND(ENDTERM!AA21,0)</f>
        <v>85</v>
      </c>
      <c r="T21" s="61"/>
      <c r="U21" s="61"/>
      <c r="V21" s="62" t="n">
        <f aca="false">(E21*0.3)+(M21*0.3)+(S21*0.4)</f>
        <v>82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FAT, NERISA SALGADO</v>
      </c>
      <c r="C22" s="56"/>
      <c r="D22" s="60" t="n">
        <f aca="false">'Input Data'!G26</f>
        <v>0</v>
      </c>
      <c r="E22" s="61" t="n">
        <f aca="false">ROUND(PRELIM!AA22,0)</f>
        <v>92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91</v>
      </c>
      <c r="N22" s="61"/>
      <c r="O22" s="61"/>
      <c r="P22" s="61"/>
      <c r="Q22" s="61"/>
      <c r="R22" s="61"/>
      <c r="S22" s="61" t="n">
        <f aca="false">ROUND(ENDTERM!AA22,0)</f>
        <v>95</v>
      </c>
      <c r="T22" s="61"/>
      <c r="U22" s="61"/>
      <c r="V22" s="62" t="n">
        <f aca="false">(E22*0.3)+(M22*0.3)+(S22*0.4)</f>
        <v>92.9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FERNANDEZ, CHRISTOPHER LIMOTAO</v>
      </c>
      <c r="C23" s="56"/>
      <c r="D23" s="60" t="n">
        <f aca="false">'Input Data'!G27</f>
        <v>0</v>
      </c>
      <c r="E23" s="61" t="n">
        <f aca="false">ROUND(PRELIM!AA23,0)</f>
        <v>75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77</v>
      </c>
      <c r="N23" s="61"/>
      <c r="O23" s="61"/>
      <c r="P23" s="61"/>
      <c r="Q23" s="61"/>
      <c r="R23" s="61"/>
      <c r="S23" s="61" t="n">
        <f aca="false">ROUND(ENDTERM!AA23,0)</f>
        <v>94</v>
      </c>
      <c r="T23" s="61"/>
      <c r="U23" s="61"/>
      <c r="V23" s="62" t="n">
        <f aca="false">(E23*0.3)+(M23*0.3)+(S23*0.4)</f>
        <v>83.2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FERNANDEZ, PENNY LANE TALANQUINES</v>
      </c>
      <c r="C24" s="56"/>
      <c r="D24" s="60" t="n">
        <f aca="false">'Input Data'!G28</f>
        <v>0</v>
      </c>
      <c r="E24" s="61" t="n">
        <f aca="false">ROUND(PRELIM!AA24,0)</f>
        <v>90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91</v>
      </c>
      <c r="N24" s="61"/>
      <c r="O24" s="61"/>
      <c r="P24" s="61"/>
      <c r="Q24" s="61"/>
      <c r="R24" s="61"/>
      <c r="S24" s="61" t="n">
        <f aca="false">ROUND(ENDTERM!AA24,0)</f>
        <v>94</v>
      </c>
      <c r="T24" s="61"/>
      <c r="U24" s="61"/>
      <c r="V24" s="62" t="n">
        <f aca="false">(E24*0.3)+(M24*0.3)+(S24*0.4)</f>
        <v>91.9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FERNANDEZ, WENDELYN VALDEVIEZO</v>
      </c>
      <c r="C25" s="56"/>
      <c r="D25" s="60" t="n">
        <f aca="false">'Input Data'!G29</f>
        <v>0</v>
      </c>
      <c r="E25" s="61" t="n">
        <f aca="false">ROUND(PRELIM!AA25,0)</f>
        <v>79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76</v>
      </c>
      <c r="N25" s="61"/>
      <c r="O25" s="61"/>
      <c r="P25" s="61"/>
      <c r="Q25" s="61"/>
      <c r="R25" s="61"/>
      <c r="S25" s="61" t="n">
        <f aca="false">ROUND(ENDTERM!AA25,0)</f>
        <v>84</v>
      </c>
      <c r="T25" s="61"/>
      <c r="U25" s="61"/>
      <c r="V25" s="62" t="n">
        <f aca="false">(E25*0.3)+(M25*0.3)+(S25*0.4)</f>
        <v>80.1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FLORES, YL JOHN MAHINAY</v>
      </c>
      <c r="C26" s="56"/>
      <c r="D26" s="60" t="n">
        <f aca="false">'Input Data'!G30</f>
        <v>0</v>
      </c>
      <c r="E26" s="61" t="n">
        <f aca="false">ROUND(PRELIM!AA26,0)</f>
        <v>92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92</v>
      </c>
      <c r="N26" s="61"/>
      <c r="O26" s="61"/>
      <c r="P26" s="61"/>
      <c r="Q26" s="61"/>
      <c r="R26" s="61"/>
      <c r="S26" s="61" t="n">
        <f aca="false">ROUND(ENDTERM!AA26,0)</f>
        <v>95</v>
      </c>
      <c r="T26" s="61"/>
      <c r="U26" s="61"/>
      <c r="V26" s="62" t="n">
        <f aca="false">(E26*0.3)+(M26*0.3)+(S26*0.4)</f>
        <v>93.2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GAJO, JAYVEN KIM AMPARO</v>
      </c>
      <c r="C27" s="56"/>
      <c r="D27" s="60" t="n">
        <f aca="false">'Input Data'!G31</f>
        <v>0</v>
      </c>
      <c r="E27" s="61" t="n">
        <f aca="false">ROUND(PRELIM!AA27,0)</f>
        <v>87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94</v>
      </c>
      <c r="N27" s="61"/>
      <c r="O27" s="61"/>
      <c r="P27" s="61"/>
      <c r="Q27" s="61"/>
      <c r="R27" s="61"/>
      <c r="S27" s="61" t="n">
        <f aca="false">ROUND(ENDTERM!AA27,0)</f>
        <v>94</v>
      </c>
      <c r="T27" s="61"/>
      <c r="U27" s="61"/>
      <c r="V27" s="62" t="n">
        <f aca="false">(E27*0.3)+(M27*0.3)+(S27*0.4)</f>
        <v>91.9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GARANZO, LANCE GABRIEL CORDOVA</v>
      </c>
      <c r="C28" s="56"/>
      <c r="D28" s="60" t="n">
        <f aca="false">'Input Data'!G32</f>
        <v>0</v>
      </c>
      <c r="E28" s="61" t="n">
        <f aca="false">ROUND(PRELIM!AA28,0)</f>
        <v>67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75</v>
      </c>
      <c r="N28" s="61"/>
      <c r="O28" s="61"/>
      <c r="P28" s="61"/>
      <c r="Q28" s="61"/>
      <c r="R28" s="61"/>
      <c r="S28" s="61" t="n">
        <f aca="false">ROUND(ENDTERM!AA28,0)</f>
        <v>80</v>
      </c>
      <c r="T28" s="61"/>
      <c r="U28" s="61"/>
      <c r="V28" s="62" t="n">
        <f aca="false">(E28*0.3)+(M28*0.3)+(S28*0.4)</f>
        <v>74.6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GARGANTA, RICHARD ACABO</v>
      </c>
      <c r="C29" s="56"/>
      <c r="D29" s="60" t="n">
        <f aca="false">'Input Data'!G33</f>
        <v>0</v>
      </c>
      <c r="E29" s="61" t="n">
        <f aca="false">ROUND(PRELIM!AA29,0)</f>
        <v>79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85</v>
      </c>
      <c r="N29" s="61"/>
      <c r="O29" s="61"/>
      <c r="P29" s="61"/>
      <c r="Q29" s="61"/>
      <c r="R29" s="61"/>
      <c r="S29" s="61" t="n">
        <f aca="false">ROUND(ENDTERM!AA29,0)</f>
        <v>70</v>
      </c>
      <c r="T29" s="61"/>
      <c r="U29" s="61"/>
      <c r="V29" s="62" t="n">
        <f aca="false">(E29*0.3)+(M29*0.3)+(S29*0.4)</f>
        <v>77.2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GARIANDO, JUSTIN KIM CORREJADO</v>
      </c>
      <c r="C30" s="56"/>
      <c r="D30" s="60" t="n">
        <f aca="false">'Input Data'!G34</f>
        <v>0</v>
      </c>
      <c r="E30" s="61" t="n">
        <f aca="false">ROUND(PRELIM!AA30,0)</f>
        <v>81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88</v>
      </c>
      <c r="N30" s="61"/>
      <c r="O30" s="61"/>
      <c r="P30" s="61"/>
      <c r="Q30" s="61"/>
      <c r="R30" s="61"/>
      <c r="S30" s="61" t="n">
        <f aca="false">ROUND(ENDTERM!AA30,0)</f>
        <v>94</v>
      </c>
      <c r="T30" s="61"/>
      <c r="U30" s="61"/>
      <c r="V30" s="62" t="n">
        <f aca="false">(E30*0.3)+(M30*0.3)+(S30*0.4)</f>
        <v>88.3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GARSOLAO, IVY MARIE ALICAYA</v>
      </c>
      <c r="C31" s="56"/>
      <c r="D31" s="60" t="n">
        <f aca="false">'Input Data'!G35</f>
        <v>0</v>
      </c>
      <c r="E31" s="61" t="n">
        <f aca="false">ROUND(PRELIM!AA31,0)</f>
        <v>86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81</v>
      </c>
      <c r="N31" s="61"/>
      <c r="O31" s="61"/>
      <c r="P31" s="61"/>
      <c r="Q31" s="61"/>
      <c r="R31" s="61"/>
      <c r="S31" s="61" t="n">
        <f aca="false">ROUND(ENDTERM!AA31,0)</f>
        <v>84</v>
      </c>
      <c r="T31" s="61"/>
      <c r="U31" s="61"/>
      <c r="V31" s="62" t="n">
        <f aca="false">(E31*0.3)+(M31*0.3)+(S31*0.4)</f>
        <v>83.7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GASATAYA, RICO TALABAN</v>
      </c>
      <c r="C32" s="56"/>
      <c r="D32" s="60" t="n">
        <f aca="false">'Input Data'!G36</f>
        <v>0</v>
      </c>
      <c r="E32" s="61" t="n">
        <f aca="false">ROUND(PRELIM!AA32,0)</f>
        <v>87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93</v>
      </c>
      <c r="N32" s="61"/>
      <c r="O32" s="61"/>
      <c r="P32" s="61"/>
      <c r="Q32" s="61"/>
      <c r="R32" s="61"/>
      <c r="S32" s="61" t="n">
        <f aca="false">ROUND(ENDTERM!AA32,0)</f>
        <v>95</v>
      </c>
      <c r="T32" s="61"/>
      <c r="U32" s="61"/>
      <c r="V32" s="62" t="n">
        <f aca="false">(E32*0.3)+(M32*0.3)+(S32*0.4)</f>
        <v>92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GELBA, ABEGAIL VENUS</v>
      </c>
      <c r="C33" s="56"/>
      <c r="D33" s="60" t="n">
        <f aca="false">'Input Data'!G37</f>
        <v>0</v>
      </c>
      <c r="E33" s="61" t="n">
        <f aca="false">ROUND(PRELIM!AA33,0)</f>
        <v>92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95</v>
      </c>
      <c r="N33" s="61"/>
      <c r="O33" s="61"/>
      <c r="P33" s="61"/>
      <c r="Q33" s="61"/>
      <c r="R33" s="61"/>
      <c r="S33" s="61" t="n">
        <f aca="false">ROUND(ENDTERM!AA33,0)</f>
        <v>96</v>
      </c>
      <c r="T33" s="61"/>
      <c r="U33" s="61"/>
      <c r="V33" s="62" t="n">
        <f aca="false">(E33*0.3)+(M33*0.3)+(S33*0.4)</f>
        <v>94.5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GENGOS, JUN APOSTOL</v>
      </c>
      <c r="C34" s="56"/>
      <c r="D34" s="60" t="n">
        <f aca="false">'Input Data'!G38</f>
        <v>0</v>
      </c>
      <c r="E34" s="61" t="n">
        <f aca="false">ROUND(PRELIM!AA34,0)</f>
        <v>82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91</v>
      </c>
      <c r="N34" s="61"/>
      <c r="O34" s="61"/>
      <c r="P34" s="61"/>
      <c r="Q34" s="61"/>
      <c r="R34" s="61"/>
      <c r="S34" s="61" t="n">
        <f aca="false">ROUND(ENDTERM!AA34,0)</f>
        <v>85</v>
      </c>
      <c r="T34" s="61"/>
      <c r="U34" s="61"/>
      <c r="V34" s="62" t="n">
        <f aca="false">(E34*0.3)+(M34*0.3)+(S34*0.4)</f>
        <v>85.9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GENOVA, JAMES DELA CRUZ</v>
      </c>
      <c r="C35" s="56"/>
      <c r="D35" s="60" t="n">
        <f aca="false">'Input Data'!G39</f>
        <v>0</v>
      </c>
      <c r="E35" s="61" t="n">
        <f aca="false">ROUND(PRELIM!AA35,0)</f>
        <v>68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90</v>
      </c>
      <c r="N35" s="61"/>
      <c r="O35" s="61"/>
      <c r="P35" s="61"/>
      <c r="Q35" s="61"/>
      <c r="R35" s="61"/>
      <c r="S35" s="61" t="n">
        <f aca="false">ROUND(ENDTERM!AA35,0)</f>
        <v>94</v>
      </c>
      <c r="T35" s="61"/>
      <c r="U35" s="61"/>
      <c r="V35" s="62" t="n">
        <f aca="false">(E35*0.3)+(M35*0.3)+(S35*0.4)</f>
        <v>85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GEPULANI, JESSA MAE CALUBAQUIT</v>
      </c>
      <c r="C36" s="56"/>
      <c r="D36" s="60" t="n">
        <f aca="false">'Input Data'!G40</f>
        <v>0</v>
      </c>
      <c r="E36" s="61" t="n">
        <f aca="false">ROUND(PRELIM!AA36,0)</f>
        <v>85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87</v>
      </c>
      <c r="N36" s="61"/>
      <c r="O36" s="61"/>
      <c r="P36" s="61"/>
      <c r="Q36" s="61"/>
      <c r="R36" s="61"/>
      <c r="S36" s="61" t="n">
        <f aca="false">ROUND(ENDTERM!AA36,0)</f>
        <v>94</v>
      </c>
      <c r="T36" s="61"/>
      <c r="U36" s="61"/>
      <c r="V36" s="62" t="n">
        <f aca="false">(E36*0.3)+(M36*0.3)+(S36*0.4)</f>
        <v>89.2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GERALDOY, PRECIOUS MARIE BAT-OG</v>
      </c>
      <c r="C37" s="56"/>
      <c r="D37" s="60" t="n">
        <f aca="false">'Input Data'!G41</f>
        <v>0</v>
      </c>
      <c r="E37" s="61" t="n">
        <f aca="false">ROUND(PRELIM!AA37,0)</f>
        <v>87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91</v>
      </c>
      <c r="N37" s="61"/>
      <c r="O37" s="61"/>
      <c r="P37" s="61"/>
      <c r="Q37" s="61"/>
      <c r="R37" s="61"/>
      <c r="S37" s="61" t="n">
        <f aca="false">ROUND(ENDTERM!AA37,0)</f>
        <v>94</v>
      </c>
      <c r="T37" s="61"/>
      <c r="U37" s="61"/>
      <c r="V37" s="62" t="n">
        <f aca="false">(E37*0.3)+(M37*0.3)+(S37*0.4)</f>
        <v>91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GESTUPA, STEPHINE NICKLE COLIMBO</v>
      </c>
      <c r="C38" s="56"/>
      <c r="D38" s="60" t="n">
        <f aca="false">'Input Data'!G42</f>
        <v>0</v>
      </c>
      <c r="E38" s="61" t="n">
        <f aca="false">ROUND(PRELIM!AA38,0)</f>
        <v>77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74</v>
      </c>
      <c r="N38" s="61"/>
      <c r="O38" s="61"/>
      <c r="P38" s="61"/>
      <c r="Q38" s="61"/>
      <c r="R38" s="61"/>
      <c r="S38" s="61" t="n">
        <f aca="false">ROUND(ENDTERM!AA38,0)</f>
        <v>82</v>
      </c>
      <c r="T38" s="61"/>
      <c r="U38" s="61"/>
      <c r="V38" s="62" t="n">
        <f aca="false">(E38*0.3)+(M38*0.3)+(S38*0.4)</f>
        <v>78.1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GILGON, ABEGAIL PELARA</v>
      </c>
      <c r="C39" s="56"/>
      <c r="D39" s="60" t="n">
        <f aca="false">'Input Data'!G43</f>
        <v>0</v>
      </c>
      <c r="E39" s="61" t="n">
        <f aca="false">ROUND(PRELIM!AA39,0)</f>
        <v>93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91</v>
      </c>
      <c r="N39" s="61"/>
      <c r="O39" s="61"/>
      <c r="P39" s="61"/>
      <c r="Q39" s="61"/>
      <c r="R39" s="61"/>
      <c r="S39" s="61" t="n">
        <f aca="false">ROUND(ENDTERM!AA39,0)</f>
        <v>96</v>
      </c>
      <c r="T39" s="61"/>
      <c r="U39" s="61"/>
      <c r="V39" s="62" t="n">
        <f aca="false">(E39*0.3)+(M39*0.3)+(S39*0.4)</f>
        <v>93.6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GITALAN, JOHN MARK GRANFIEL</v>
      </c>
      <c r="C40" s="56"/>
      <c r="D40" s="60" t="n">
        <f aca="false">'Input Data'!G44</f>
        <v>0</v>
      </c>
      <c r="E40" s="61" t="n">
        <f aca="false">ROUND(PRELIM!AA40,0)</f>
        <v>82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89</v>
      </c>
      <c r="N40" s="61"/>
      <c r="O40" s="61"/>
      <c r="P40" s="61"/>
      <c r="Q40" s="61"/>
      <c r="R40" s="61"/>
      <c r="S40" s="61" t="n">
        <f aca="false">ROUND(ENDTERM!AA40,0)</f>
        <v>94</v>
      </c>
      <c r="T40" s="61"/>
      <c r="U40" s="61"/>
      <c r="V40" s="62" t="n">
        <f aca="false">(E40*0.3)+(M40*0.3)+(S40*0.4)</f>
        <v>88.9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GORDO, PAUL GREG BAJO</v>
      </c>
      <c r="C41" s="56"/>
      <c r="D41" s="60" t="n">
        <f aca="false">'Input Data'!G45</f>
        <v>0</v>
      </c>
      <c r="E41" s="61" t="n">
        <f aca="false">ROUND(PRELIM!AA41,0)</f>
        <v>83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89</v>
      </c>
      <c r="N41" s="61"/>
      <c r="O41" s="61"/>
      <c r="P41" s="61"/>
      <c r="Q41" s="61"/>
      <c r="R41" s="61"/>
      <c r="S41" s="61" t="n">
        <f aca="false">ROUND(ENDTERM!AA41,0)</f>
        <v>93</v>
      </c>
      <c r="T41" s="61"/>
      <c r="U41" s="61"/>
      <c r="V41" s="62" t="n">
        <f aca="false">(E41*0.3)+(M41*0.3)+(S41*0.4)</f>
        <v>88.8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GRANDEA, JOSE REY URBANOZO</v>
      </c>
      <c r="C42" s="56"/>
      <c r="D42" s="60" t="n">
        <f aca="false">'Input Data'!G46</f>
        <v>0</v>
      </c>
      <c r="E42" s="61" t="n">
        <f aca="false">ROUND(PRELIM!AA42,0)</f>
        <v>94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79</v>
      </c>
      <c r="N42" s="61"/>
      <c r="O42" s="61"/>
      <c r="P42" s="61"/>
      <c r="Q42" s="61"/>
      <c r="R42" s="61"/>
      <c r="S42" s="61" t="n">
        <f aca="false">ROUND(ENDTERM!AA42,0)</f>
        <v>94</v>
      </c>
      <c r="T42" s="61"/>
      <c r="U42" s="61"/>
      <c r="V42" s="62" t="n">
        <f aca="false">(E42*0.3)+(M42*0.3)+(S42*0.4)</f>
        <v>89.5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GUILARAN, CHRISTIAN VILLAMAR</v>
      </c>
      <c r="C43" s="56"/>
      <c r="D43" s="60" t="n">
        <f aca="false">'Input Data'!G47</f>
        <v>0</v>
      </c>
      <c r="E43" s="61" t="n">
        <f aca="false">ROUND(PRELIM!AA43,0)</f>
        <v>76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88</v>
      </c>
      <c r="N43" s="61"/>
      <c r="O43" s="61"/>
      <c r="P43" s="61"/>
      <c r="Q43" s="61"/>
      <c r="R43" s="61"/>
      <c r="S43" s="61" t="n">
        <f aca="false">ROUND(ENDTERM!AA43,0)</f>
        <v>84</v>
      </c>
      <c r="T43" s="61"/>
      <c r="U43" s="61"/>
      <c r="V43" s="62" t="n">
        <f aca="false">(E43*0.3)+(M43*0.3)+(S43*0.4)</f>
        <v>82.8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HERMOSURA, JAYCA FUNDADOR</v>
      </c>
      <c r="C44" s="56"/>
      <c r="D44" s="60" t="n">
        <f aca="false">'Input Data'!G48</f>
        <v>0</v>
      </c>
      <c r="E44" s="61" t="n">
        <f aca="false">ROUND(PRELIM!AA44,0)</f>
        <v>92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95</v>
      </c>
      <c r="N44" s="61"/>
      <c r="O44" s="61"/>
      <c r="P44" s="61"/>
      <c r="Q44" s="61"/>
      <c r="R44" s="61"/>
      <c r="S44" s="61" t="n">
        <f aca="false">ROUND(ENDTERM!AA44,0)</f>
        <v>96</v>
      </c>
      <c r="T44" s="61"/>
      <c r="U44" s="61"/>
      <c r="V44" s="62" t="n">
        <f aca="false">(E44*0.3)+(M44*0.3)+(S44*0.4)</f>
        <v>94.5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HILADO, CATHERINE SALVILLA</v>
      </c>
      <c r="C45" s="56"/>
      <c r="D45" s="60" t="n">
        <f aca="false">'Input Data'!G49</f>
        <v>0</v>
      </c>
      <c r="E45" s="61" t="n">
        <f aca="false">ROUND(PRELIM!AA45,0)</f>
        <v>88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90</v>
      </c>
      <c r="N45" s="61"/>
      <c r="O45" s="61"/>
      <c r="P45" s="61"/>
      <c r="Q45" s="61"/>
      <c r="R45" s="61"/>
      <c r="S45" s="61" t="n">
        <f aca="false">ROUND(ENDTERM!AA45,0)</f>
        <v>95</v>
      </c>
      <c r="T45" s="61"/>
      <c r="U45" s="61"/>
      <c r="V45" s="62" t="n">
        <f aca="false">(E45*0.3)+(M45*0.3)+(S45*0.4)</f>
        <v>91.4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IBAÑEZ , ALFON FRANC DELA CRUZ</v>
      </c>
      <c r="C46" s="56"/>
      <c r="D46" s="60" t="n">
        <f aca="false">'Input Data'!G50</f>
        <v>0</v>
      </c>
      <c r="E46" s="61" t="n">
        <f aca="false">ROUND(PRELIM!AA46,0)</f>
        <v>80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85</v>
      </c>
      <c r="N46" s="61"/>
      <c r="O46" s="61"/>
      <c r="P46" s="61"/>
      <c r="Q46" s="61"/>
      <c r="R46" s="61"/>
      <c r="S46" s="61" t="n">
        <f aca="false">ROUND(ENDTERM!AA46,0)</f>
        <v>83</v>
      </c>
      <c r="T46" s="61"/>
      <c r="U46" s="61"/>
      <c r="V46" s="62" t="n">
        <f aca="false">(E46*0.3)+(M46*0.3)+(S46*0.4)</f>
        <v>82.7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IBAÑEZ, LEO CASSANDRE DIONILLO</v>
      </c>
      <c r="C47" s="56"/>
      <c r="D47" s="60" t="n">
        <f aca="false">'Input Data'!G51</f>
        <v>0</v>
      </c>
      <c r="E47" s="61" t="n">
        <f aca="false">ROUND(PRELIM!AA47,0)</f>
        <v>50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50</v>
      </c>
      <c r="N47" s="61"/>
      <c r="O47" s="61"/>
      <c r="P47" s="61"/>
      <c r="Q47" s="61"/>
      <c r="R47" s="61"/>
      <c r="S47" s="61" t="n">
        <f aca="false">ROUND(ENDTERM!AA47,0)</f>
        <v>50</v>
      </c>
      <c r="T47" s="61"/>
      <c r="U47" s="61"/>
      <c r="V47" s="62" t="n">
        <f aca="false">(E47*0.3)+(M47*0.3)+(S47*0.4)</f>
        <v>50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ILUSTRISIMO, REYNALDO SAYSON</v>
      </c>
      <c r="C48" s="56"/>
      <c r="D48" s="60" t="n">
        <f aca="false">'Input Data'!G52</f>
        <v>0</v>
      </c>
      <c r="E48" s="61" t="n">
        <f aca="false">ROUND(PRELIM!AA48,0)</f>
        <v>90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96</v>
      </c>
      <c r="N48" s="61"/>
      <c r="O48" s="61"/>
      <c r="P48" s="61"/>
      <c r="Q48" s="61"/>
      <c r="R48" s="61"/>
      <c r="S48" s="61" t="n">
        <f aca="false">ROUND(ENDTERM!AA48,0)</f>
        <v>95</v>
      </c>
      <c r="T48" s="61"/>
      <c r="U48" s="61"/>
      <c r="V48" s="62" t="n">
        <f aca="false">(E48*0.3)+(M48*0.3)+(S48*0.4)</f>
        <v>93.8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ILUSTRISIMO, REYSHEL SAYSON</v>
      </c>
      <c r="C49" s="56"/>
      <c r="D49" s="60" t="n">
        <f aca="false">'Input Data'!G53</f>
        <v>0</v>
      </c>
      <c r="E49" s="61" t="n">
        <f aca="false">ROUND(PRELIM!AA49,0)</f>
        <v>89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91</v>
      </c>
      <c r="N49" s="61"/>
      <c r="O49" s="61"/>
      <c r="P49" s="61"/>
      <c r="Q49" s="61"/>
      <c r="R49" s="61"/>
      <c r="S49" s="61" t="n">
        <f aca="false">ROUND(ENDTERM!AA49,0)</f>
        <v>95</v>
      </c>
      <c r="T49" s="61"/>
      <c r="U49" s="61"/>
      <c r="V49" s="62" t="n">
        <f aca="false">(E49*0.3)+(M49*0.3)+(S49*0.4)</f>
        <v>92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JAIN, HARVEY ARIOLA</v>
      </c>
      <c r="C50" s="56"/>
      <c r="D50" s="60" t="n">
        <f aca="false">'Input Data'!G54</f>
        <v>0</v>
      </c>
      <c r="E50" s="61" t="n">
        <f aca="false">ROUND(PRELIM!AA50,0)</f>
        <v>81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84</v>
      </c>
      <c r="N50" s="61"/>
      <c r="O50" s="61"/>
      <c r="P50" s="61"/>
      <c r="Q50" s="61"/>
      <c r="R50" s="61"/>
      <c r="S50" s="61" t="n">
        <f aca="false">ROUND(ENDTERM!AA50,0)</f>
        <v>93</v>
      </c>
      <c r="T50" s="61"/>
      <c r="U50" s="61"/>
      <c r="V50" s="62" t="n">
        <f aca="false">(E50*0.3)+(M50*0.3)+(S50*0.4)</f>
        <v>86.7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LACHICA, ALTHEIA ROSE CASIDSID</v>
      </c>
      <c r="C51" s="56"/>
      <c r="D51" s="60" t="n">
        <f aca="false">'Input Data'!G55</f>
        <v>0</v>
      </c>
      <c r="E51" s="61" t="n">
        <f aca="false">ROUND(PRELIM!AA51,0)</f>
        <v>85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89</v>
      </c>
      <c r="N51" s="61"/>
      <c r="O51" s="61"/>
      <c r="P51" s="61"/>
      <c r="Q51" s="61"/>
      <c r="R51" s="61"/>
      <c r="S51" s="61" t="n">
        <f aca="false">ROUND(ENDTERM!AA51,0)</f>
        <v>86</v>
      </c>
      <c r="T51" s="61"/>
      <c r="U51" s="61"/>
      <c r="V51" s="62" t="n">
        <f aca="false">(E51*0.3)+(M51*0.3)+(S51*0.4)</f>
        <v>86.6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LACSON, NOVIE VALENTINO</v>
      </c>
      <c r="C52" s="56"/>
      <c r="D52" s="60" t="n">
        <f aca="false">'Input Data'!G56</f>
        <v>0</v>
      </c>
      <c r="E52" s="61" t="n">
        <f aca="false">ROUND(PRELIM!AA52,0)</f>
        <v>82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78</v>
      </c>
      <c r="N52" s="61"/>
      <c r="O52" s="61"/>
      <c r="P52" s="61"/>
      <c r="Q52" s="61"/>
      <c r="R52" s="61"/>
      <c r="S52" s="61" t="n">
        <f aca="false">ROUND(ENDTERM!AA52,0)</f>
        <v>84</v>
      </c>
      <c r="T52" s="61"/>
      <c r="U52" s="61"/>
      <c r="V52" s="62" t="n">
        <f aca="false">(E52*0.3)+(M52*0.3)+(S52*0.4)</f>
        <v>81.6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LAURITO, MJ MEDES</v>
      </c>
      <c r="C53" s="56"/>
      <c r="D53" s="60" t="n">
        <f aca="false">'Input Data'!G57</f>
        <v>0</v>
      </c>
      <c r="E53" s="61" t="n">
        <f aca="false">ROUND(PRELIM!AA53,0)</f>
        <v>76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78</v>
      </c>
      <c r="N53" s="61"/>
      <c r="O53" s="61"/>
      <c r="P53" s="61"/>
      <c r="Q53" s="61"/>
      <c r="R53" s="61"/>
      <c r="S53" s="61" t="n">
        <f aca="false">ROUND(ENDTERM!AA53,0)</f>
        <v>83</v>
      </c>
      <c r="T53" s="61"/>
      <c r="U53" s="61"/>
      <c r="V53" s="62" t="n">
        <f aca="false">(E53*0.3)+(M53*0.3)+(S53*0.4)</f>
        <v>79.4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LAYAN, JOHN REL RAGO</v>
      </c>
      <c r="C54" s="56"/>
      <c r="D54" s="60" t="n">
        <f aca="false">'Input Data'!G58</f>
        <v>0</v>
      </c>
      <c r="E54" s="61" t="n">
        <f aca="false">ROUND(PRELIM!AA54,0)</f>
        <v>78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92</v>
      </c>
      <c r="N54" s="61"/>
      <c r="O54" s="61"/>
      <c r="P54" s="61"/>
      <c r="Q54" s="61"/>
      <c r="R54" s="61"/>
      <c r="S54" s="61" t="n">
        <f aca="false">ROUND(ENDTERM!AA54,0)</f>
        <v>95</v>
      </c>
      <c r="T54" s="61"/>
      <c r="U54" s="61"/>
      <c r="V54" s="62" t="n">
        <f aca="false">(E54*0.3)+(M54*0.3)+(S54*0.4)</f>
        <v>89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LIBRE, MARIEL CAUSAPIN</v>
      </c>
      <c r="C55" s="56"/>
      <c r="D55" s="60" t="n">
        <f aca="false">'Input Data'!G59</f>
        <v>0</v>
      </c>
      <c r="E55" s="61" t="n">
        <f aca="false">ROUND(PRELIM!AA55,0)</f>
        <v>95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95</v>
      </c>
      <c r="N55" s="61"/>
      <c r="O55" s="61"/>
      <c r="P55" s="61"/>
      <c r="Q55" s="61"/>
      <c r="R55" s="61"/>
      <c r="S55" s="61" t="n">
        <f aca="false">ROUND(ENDTERM!AA55,0)</f>
        <v>96</v>
      </c>
      <c r="T55" s="61"/>
      <c r="U55" s="61"/>
      <c r="V55" s="62" t="n">
        <f aca="false">(E55*0.3)+(M55*0.3)+(S55*0.4)</f>
        <v>95.4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LIRAZAN, ADRIAN PANONCIAL</v>
      </c>
      <c r="C56" s="56"/>
      <c r="D56" s="60" t="n">
        <f aca="false">'Input Data'!G60</f>
        <v>0</v>
      </c>
      <c r="E56" s="61" t="n">
        <f aca="false">ROUND(PRELIM!AA56,0)</f>
        <v>79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79</v>
      </c>
      <c r="N56" s="61"/>
      <c r="O56" s="61"/>
      <c r="P56" s="61"/>
      <c r="Q56" s="61"/>
      <c r="R56" s="61"/>
      <c r="S56" s="61" t="n">
        <f aca="false">ROUND(ENDTERM!AA56,0)</f>
        <v>84</v>
      </c>
      <c r="T56" s="61"/>
      <c r="U56" s="61"/>
      <c r="V56" s="62" t="n">
        <f aca="false">(E56*0.3)+(M56*0.3)+(S56*0.4)</f>
        <v>81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LOZANA, REGEL KEN MAGDAEL</v>
      </c>
      <c r="C57" s="56"/>
      <c r="D57" s="60" t="n">
        <f aca="false">'Input Data'!G61</f>
        <v>0</v>
      </c>
      <c r="E57" s="61" t="n">
        <f aca="false">ROUND(PRELIM!AA57,0)</f>
        <v>70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74</v>
      </c>
      <c r="N57" s="61"/>
      <c r="O57" s="61"/>
      <c r="P57" s="61"/>
      <c r="Q57" s="61"/>
      <c r="R57" s="61"/>
      <c r="S57" s="61" t="n">
        <f aca="false">ROUND(ENDTERM!AA57,0)</f>
        <v>70</v>
      </c>
      <c r="T57" s="61"/>
      <c r="U57" s="61"/>
      <c r="V57" s="62" t="n">
        <f aca="false">(E57*0.3)+(M57*0.3)+(S57*0.4)</f>
        <v>71.2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LUCASAN, ARC XERLAN DULLA</v>
      </c>
      <c r="C58" s="56"/>
      <c r="D58" s="60" t="n">
        <f aca="false">'Input Data'!G62</f>
        <v>0</v>
      </c>
      <c r="E58" s="61" t="n">
        <f aca="false">ROUND(PRELIM!AA58,0)</f>
        <v>82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78</v>
      </c>
      <c r="N58" s="61"/>
      <c r="O58" s="61"/>
      <c r="P58" s="61"/>
      <c r="Q58" s="61"/>
      <c r="R58" s="61"/>
      <c r="S58" s="61" t="n">
        <f aca="false">ROUND(ENDTERM!AA58,0)</f>
        <v>94</v>
      </c>
      <c r="T58" s="61"/>
      <c r="U58" s="61"/>
      <c r="V58" s="62" t="n">
        <f aca="false">(E58*0.3)+(M58*0.3)+(S58*0.4)</f>
        <v>85.6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SILPAO, ADRIAN FREDERICK GATDULA</v>
      </c>
      <c r="C59" s="56"/>
      <c r="D59" s="60" t="n">
        <f aca="false">'Input Data'!G63</f>
        <v>0</v>
      </c>
      <c r="E59" s="61" t="n">
        <f aca="false">ROUND(PRELIM!AA59,0)</f>
        <v>89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91</v>
      </c>
      <c r="N59" s="61"/>
      <c r="O59" s="61"/>
      <c r="P59" s="61"/>
      <c r="Q59" s="61"/>
      <c r="R59" s="61"/>
      <c r="S59" s="61" t="n">
        <f aca="false">ROUND(ENDTERM!AA59,0)</f>
        <v>89</v>
      </c>
      <c r="T59" s="61"/>
      <c r="U59" s="61"/>
      <c r="V59" s="62" t="n">
        <f aca="false">(E59*0.3)+(M59*0.3)+(S59*0.4)</f>
        <v>89.6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SILPAO, ANDREI ANTONIO GATDULA</v>
      </c>
      <c r="C60" s="56"/>
      <c r="D60" s="60" t="n">
        <f aca="false">'Input Data'!G64</f>
        <v>0</v>
      </c>
      <c r="E60" s="61" t="n">
        <f aca="false">ROUND(PRELIM!AA60,0)</f>
        <v>86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86</v>
      </c>
      <c r="N60" s="61"/>
      <c r="O60" s="61"/>
      <c r="P60" s="61"/>
      <c r="Q60" s="61"/>
      <c r="R60" s="61"/>
      <c r="S60" s="61" t="n">
        <f aca="false">ROUND(ENDTERM!AA60,0)</f>
        <v>88</v>
      </c>
      <c r="T60" s="61"/>
      <c r="U60" s="61"/>
      <c r="V60" s="62" t="n">
        <f aca="false">(E60*0.3)+(M60*0.3)+(S60*0.4)</f>
        <v>86.8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SUMAGAYSAY, MAY ANN MOREÑO</v>
      </c>
      <c r="C61" s="56"/>
      <c r="D61" s="60" t="n">
        <f aca="false">'Input Data'!G65</f>
        <v>0</v>
      </c>
      <c r="E61" s="61" t="n">
        <f aca="false">ROUND(PRELIM!AA61,0)</f>
        <v>88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92</v>
      </c>
      <c r="N61" s="61"/>
      <c r="O61" s="61"/>
      <c r="P61" s="61"/>
      <c r="Q61" s="61"/>
      <c r="R61" s="61"/>
      <c r="S61" s="61" t="n">
        <f aca="false">ROUND(ENDTERM!AA61,0)</f>
        <v>95</v>
      </c>
      <c r="T61" s="61"/>
      <c r="U61" s="61"/>
      <c r="V61" s="62" t="n">
        <f aca="false">(E61*0.3)+(M61*0.3)+(S61*0.4)</f>
        <v>92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TAGULALAC, ANDREI CHRISTOPHER RAVINA</v>
      </c>
      <c r="C62" s="56"/>
      <c r="D62" s="60" t="n">
        <f aca="false">'Input Data'!G66</f>
        <v>0</v>
      </c>
      <c r="E62" s="61" t="n">
        <f aca="false">ROUND(PRELIM!AA62,0)</f>
        <v>72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79</v>
      </c>
      <c r="N62" s="61"/>
      <c r="O62" s="61"/>
      <c r="P62" s="61"/>
      <c r="Q62" s="61"/>
      <c r="R62" s="61"/>
      <c r="S62" s="61" t="n">
        <f aca="false">ROUND(ENDTERM!AA62,0)</f>
        <v>84</v>
      </c>
      <c r="T62" s="61"/>
      <c r="U62" s="61"/>
      <c r="V62" s="62" t="n">
        <f aca="false">(E62*0.3)+(M62*0.3)+(S62*0.4)</f>
        <v>78.9</v>
      </c>
    </row>
    <row r="63" customFormat="false" ht="15" hidden="false" customHeight="false" outlineLevel="0" collapsed="false">
      <c r="A63" s="43" t="n">
        <f aca="false">'Input Data'!B67</f>
        <v>48</v>
      </c>
      <c r="B63" s="56" t="str">
        <f aca="false">'Input Data'!C67</f>
        <v>TANAYA, KENNA ROSE DEE PERDENIA</v>
      </c>
      <c r="C63" s="56"/>
      <c r="D63" s="60" t="n">
        <f aca="false">'Input Data'!G67</f>
        <v>0</v>
      </c>
      <c r="E63" s="61" t="n">
        <f aca="false">ROUND(PRELIM!AA63,0)</f>
        <v>84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92</v>
      </c>
      <c r="N63" s="61"/>
      <c r="O63" s="61"/>
      <c r="P63" s="61"/>
      <c r="Q63" s="61"/>
      <c r="R63" s="61"/>
      <c r="S63" s="61" t="n">
        <f aca="false">ROUND(ENDTERM!AA63,0)</f>
        <v>84</v>
      </c>
      <c r="T63" s="61"/>
      <c r="U63" s="61"/>
      <c r="V63" s="62" t="n">
        <f aca="false">(E63*0.3)+(M63*0.3)+(S63*0.4)</f>
        <v>86.4</v>
      </c>
    </row>
    <row r="64" customFormat="false" ht="15" hidden="false" customHeight="false" outlineLevel="0" collapsed="false">
      <c r="A64" s="43" t="n">
        <f aca="false">'Input Data'!B68</f>
        <v>49</v>
      </c>
      <c r="B64" s="56" t="str">
        <f aca="false">'Input Data'!C68</f>
        <v>ZUILO, DANIEL</v>
      </c>
      <c r="C64" s="56"/>
      <c r="D64" s="60" t="n">
        <f aca="false">'Input Data'!G68</f>
        <v>0</v>
      </c>
      <c r="E64" s="61" t="n">
        <f aca="false">ROUND(PRELIM!AA64,0)</f>
        <v>90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80</v>
      </c>
      <c r="N64" s="61"/>
      <c r="O64" s="61"/>
      <c r="P64" s="61"/>
      <c r="Q64" s="61"/>
      <c r="R64" s="61"/>
      <c r="S64" s="61" t="n">
        <f aca="false">ROUND(ENDTERM!AA64,0)</f>
        <v>98</v>
      </c>
      <c r="T64" s="61"/>
      <c r="U64" s="61"/>
      <c r="V64" s="62" t="n">
        <f aca="false">(E64*0.3)+(M64*0.3)+(S64*0.4)</f>
        <v>90.2</v>
      </c>
    </row>
    <row r="65" customFormat="false" ht="15" hidden="false" customHeight="false" outlineLevel="0" collapsed="false">
      <c r="A65" s="43" t="n">
        <f aca="false">'Input Data'!B69</f>
        <v>50</v>
      </c>
      <c r="B65" s="56" t="str">
        <f aca="false">'Input Data'!C69</f>
        <v>BASOY, TRIXIE LAURENCE</v>
      </c>
      <c r="C65" s="56"/>
      <c r="D65" s="60" t="n">
        <f aca="false">'Input Data'!G69</f>
        <v>0</v>
      </c>
      <c r="E65" s="61" t="n">
        <f aca="false">ROUND(PRELIM!AA65,0)</f>
        <v>77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56</v>
      </c>
      <c r="N65" s="61"/>
      <c r="O65" s="61"/>
      <c r="P65" s="61"/>
      <c r="Q65" s="61"/>
      <c r="R65" s="61"/>
      <c r="S65" s="61" t="n">
        <f aca="false">ROUND(ENDTERM!AA65,0)</f>
        <v>90</v>
      </c>
      <c r="T65" s="61"/>
      <c r="U65" s="61"/>
      <c r="V65" s="62" t="n">
        <f aca="false">(E65*0.3)+(M65*0.3)+(S65*0.4)</f>
        <v>75.9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101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60" zoomScaleNormal="60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398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2026-06-08T16:30:54Z</dcterms:modified>
  <cp:revision>86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